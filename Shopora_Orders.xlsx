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0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ethanmoore/Downloads/"/>
    </mc:Choice>
  </mc:AlternateContent>
  <xr:revisionPtr revIDLastSave="0" documentId="8_{F1A81CB8-6139-DA4D-A60F-1E5346722DE2}" xr6:coauthVersionLast="47" xr6:coauthVersionMax="47" xr10:uidLastSave="{00000000-0000-0000-0000-000000000000}"/>
  <bookViews>
    <workbookView xWindow="0" yWindow="500" windowWidth="31200" windowHeight="15580" xr2:uid="{9222EEA6-36E4-014D-BA11-452F5DA436CF}"/>
  </bookViews>
  <sheets>
    <sheet name="Total Sales by Month" sheetId="2" r:id="rId1"/>
    <sheet name="Campaign vs Non-Campaign" sheetId="3" r:id="rId2"/>
    <sheet name="Top 5 Selling Products" sheetId="4" r:id="rId3"/>
    <sheet name="Shopora_Orders" sheetId="1" r:id="rId4"/>
  </sheets>
  <calcPr calcId="191029"/>
  <pivotCaches>
    <pivotCache cacheId="7" r:id="rId5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</calcChain>
</file>

<file path=xl/sharedStrings.xml><?xml version="1.0" encoding="utf-8"?>
<sst xmlns="http://purl.oclc.org/ooxml/spreadsheetml/main" count="4045" uniqueCount="1361">
  <si>
    <t>Order_ID</t>
  </si>
  <si>
    <t>Order_Date</t>
  </si>
  <si>
    <t>Customer_ID</t>
  </si>
  <si>
    <t>Product_ID</t>
  </si>
  <si>
    <t>Campaign_ID</t>
  </si>
  <si>
    <t>Units_Sold</t>
  </si>
  <si>
    <t>Discount</t>
  </si>
  <si>
    <t>Total_Sales</t>
  </si>
  <si>
    <t>Profit</t>
  </si>
  <si>
    <t>O00000</t>
  </si>
  <si>
    <t>C0241</t>
  </si>
  <si>
    <t>P0015</t>
  </si>
  <si>
    <t>CA001</t>
  </si>
  <si>
    <t>O00001</t>
  </si>
  <si>
    <t>C0132</t>
  </si>
  <si>
    <t>P0007</t>
  </si>
  <si>
    <t>CA003</t>
  </si>
  <si>
    <t>O00002</t>
  </si>
  <si>
    <t>C0271</t>
  </si>
  <si>
    <t>P0014</t>
  </si>
  <si>
    <t>CA002</t>
  </si>
  <si>
    <t>O00003</t>
  </si>
  <si>
    <t>C0155</t>
  </si>
  <si>
    <t>P0004</t>
  </si>
  <si>
    <t>O00004</t>
  </si>
  <si>
    <t>C0235</t>
  </si>
  <si>
    <t>P0003</t>
  </si>
  <si>
    <t>O00005</t>
  </si>
  <si>
    <t>C0275</t>
  </si>
  <si>
    <t>P0001</t>
  </si>
  <si>
    <t>CA004</t>
  </si>
  <si>
    <t>O00006</t>
  </si>
  <si>
    <t>C0220</t>
  </si>
  <si>
    <t>O00007</t>
  </si>
  <si>
    <t>C0214</t>
  </si>
  <si>
    <t>P0006</t>
  </si>
  <si>
    <t>O00008</t>
  </si>
  <si>
    <t>C0035</t>
  </si>
  <si>
    <t>P0017</t>
  </si>
  <si>
    <t>O00009</t>
  </si>
  <si>
    <t>C0023</t>
  </si>
  <si>
    <t>P0021</t>
  </si>
  <si>
    <t>O00010</t>
  </si>
  <si>
    <t>C0009</t>
  </si>
  <si>
    <t>P0012</t>
  </si>
  <si>
    <t>O00011</t>
  </si>
  <si>
    <t>C0054</t>
  </si>
  <si>
    <t>P0025</t>
  </si>
  <si>
    <t>O00012</t>
  </si>
  <si>
    <t>C0181</t>
  </si>
  <si>
    <t>P0018</t>
  </si>
  <si>
    <t>O00013</t>
  </si>
  <si>
    <t>C0238</t>
  </si>
  <si>
    <t>P0023</t>
  </si>
  <si>
    <t>O00014</t>
  </si>
  <si>
    <t>C0033</t>
  </si>
  <si>
    <t>O00015</t>
  </si>
  <si>
    <t>C0104</t>
  </si>
  <si>
    <t>P0002</t>
  </si>
  <si>
    <t>O00016</t>
  </si>
  <si>
    <t>C0159</t>
  </si>
  <si>
    <t>O00017</t>
  </si>
  <si>
    <t>C0130</t>
  </si>
  <si>
    <t>O00018</t>
  </si>
  <si>
    <t>C0025</t>
  </si>
  <si>
    <t>P0028</t>
  </si>
  <si>
    <t>O00019</t>
  </si>
  <si>
    <t>C0189</t>
  </si>
  <si>
    <t>O00020</t>
  </si>
  <si>
    <t>C0174</t>
  </si>
  <si>
    <t>O00021</t>
  </si>
  <si>
    <t>C0266</t>
  </si>
  <si>
    <t>P0009</t>
  </si>
  <si>
    <t>O00022</t>
  </si>
  <si>
    <t>C0221</t>
  </si>
  <si>
    <t>P0020</t>
  </si>
  <si>
    <t>O00023</t>
  </si>
  <si>
    <t>C0165</t>
  </si>
  <si>
    <t>O00024</t>
  </si>
  <si>
    <t>C0152</t>
  </si>
  <si>
    <t>P0010</t>
  </si>
  <si>
    <t>O00025</t>
  </si>
  <si>
    <t>C0219</t>
  </si>
  <si>
    <t>O00026</t>
  </si>
  <si>
    <t>C0022</t>
  </si>
  <si>
    <t>P0024</t>
  </si>
  <si>
    <t>O00027</t>
  </si>
  <si>
    <t>C0141</t>
  </si>
  <si>
    <t>O00028</t>
  </si>
  <si>
    <t>C0208</t>
  </si>
  <si>
    <t>O00029</t>
  </si>
  <si>
    <t>C0225</t>
  </si>
  <si>
    <t>O00030</t>
  </si>
  <si>
    <t>C0188</t>
  </si>
  <si>
    <t>O00031</t>
  </si>
  <si>
    <t>C0079</t>
  </si>
  <si>
    <t>P0022</t>
  </si>
  <si>
    <t>O00032</t>
  </si>
  <si>
    <t>C0228</t>
  </si>
  <si>
    <t>O00033</t>
  </si>
  <si>
    <t>C0272</t>
  </si>
  <si>
    <t>O00034</t>
  </si>
  <si>
    <t>C0143</t>
  </si>
  <si>
    <t>P0008</t>
  </si>
  <si>
    <t>O00035</t>
  </si>
  <si>
    <t>C0096</t>
  </si>
  <si>
    <t>P0016</t>
  </si>
  <si>
    <t>O00036</t>
  </si>
  <si>
    <t>C0135</t>
  </si>
  <si>
    <t>CA005</t>
  </si>
  <si>
    <t>O00037</t>
  </si>
  <si>
    <t>C0147</t>
  </si>
  <si>
    <t>O00038</t>
  </si>
  <si>
    <t>C0070</t>
  </si>
  <si>
    <t>O00039</t>
  </si>
  <si>
    <t>O00040</t>
  </si>
  <si>
    <t>C0034</t>
  </si>
  <si>
    <t>O00041</t>
  </si>
  <si>
    <t>C0090</t>
  </si>
  <si>
    <t>P0026</t>
  </si>
  <si>
    <t>O00042</t>
  </si>
  <si>
    <t>C0063</t>
  </si>
  <si>
    <t>O00043</t>
  </si>
  <si>
    <t>C0014</t>
  </si>
  <si>
    <t>O00044</t>
  </si>
  <si>
    <t>C0067</t>
  </si>
  <si>
    <t>O00045</t>
  </si>
  <si>
    <t>C0204</t>
  </si>
  <si>
    <t>O00046</t>
  </si>
  <si>
    <t>C0210</t>
  </si>
  <si>
    <t>P0027</t>
  </si>
  <si>
    <t>O00047</t>
  </si>
  <si>
    <t>C0038</t>
  </si>
  <si>
    <t>O00048</t>
  </si>
  <si>
    <t>C0066</t>
  </si>
  <si>
    <t>P0029</t>
  </si>
  <si>
    <t>O00049</t>
  </si>
  <si>
    <t>C0258</t>
  </si>
  <si>
    <t>P0030</t>
  </si>
  <si>
    <t>O00050</t>
  </si>
  <si>
    <t>O00051</t>
  </si>
  <si>
    <t>C0116</t>
  </si>
  <si>
    <t>O00052</t>
  </si>
  <si>
    <t>C0101</t>
  </si>
  <si>
    <t>O00053</t>
  </si>
  <si>
    <t>C0156</t>
  </si>
  <si>
    <t>O00054</t>
  </si>
  <si>
    <t>C0087</t>
  </si>
  <si>
    <t>P0019</t>
  </si>
  <si>
    <t>O00055</t>
  </si>
  <si>
    <t>C0173</t>
  </si>
  <si>
    <t>O00056</t>
  </si>
  <si>
    <t>C0024</t>
  </si>
  <si>
    <t>O00057</t>
  </si>
  <si>
    <t>O00058</t>
  </si>
  <si>
    <t>C0280</t>
  </si>
  <si>
    <t>O00059</t>
  </si>
  <si>
    <t>O00060</t>
  </si>
  <si>
    <t>C0031</t>
  </si>
  <si>
    <t>O00061</t>
  </si>
  <si>
    <t>O00062</t>
  </si>
  <si>
    <t>C0161</t>
  </si>
  <si>
    <t>O00063</t>
  </si>
  <si>
    <t>O00064</t>
  </si>
  <si>
    <t>C0055</t>
  </si>
  <si>
    <t>P0011</t>
  </si>
  <si>
    <t>O00065</t>
  </si>
  <si>
    <t>C0137</t>
  </si>
  <si>
    <t>O00066</t>
  </si>
  <si>
    <t>C0026</t>
  </si>
  <si>
    <t>O00067</t>
  </si>
  <si>
    <t>C0128</t>
  </si>
  <si>
    <t>O00068</t>
  </si>
  <si>
    <t>O00069</t>
  </si>
  <si>
    <t>C0240</t>
  </si>
  <si>
    <t>O00070</t>
  </si>
  <si>
    <t>C0047</t>
  </si>
  <si>
    <t>P0013</t>
  </si>
  <si>
    <t>O00071</t>
  </si>
  <si>
    <t>C0299</t>
  </si>
  <si>
    <t>O00072</t>
  </si>
  <si>
    <t>C0254</t>
  </si>
  <si>
    <t>O00073</t>
  </si>
  <si>
    <t>C0005</t>
  </si>
  <si>
    <t>O00074</t>
  </si>
  <si>
    <t>C0136</t>
  </si>
  <si>
    <t>O00075</t>
  </si>
  <si>
    <t>O00076</t>
  </si>
  <si>
    <t>C0100</t>
  </si>
  <si>
    <t>O00077</t>
  </si>
  <si>
    <t>C0259</t>
  </si>
  <si>
    <t>O00078</t>
  </si>
  <si>
    <t>C0061</t>
  </si>
  <si>
    <t>P0005</t>
  </si>
  <si>
    <t>O00079</t>
  </si>
  <si>
    <t>O00080</t>
  </si>
  <si>
    <t>C0261</t>
  </si>
  <si>
    <t>O00081</t>
  </si>
  <si>
    <t>C0071</t>
  </si>
  <si>
    <t>O00082</t>
  </si>
  <si>
    <t>C0234</t>
  </si>
  <si>
    <t>O00083</t>
  </si>
  <si>
    <t>C0164</t>
  </si>
  <si>
    <t>O00084</t>
  </si>
  <si>
    <t>C0154</t>
  </si>
  <si>
    <t>O00085</t>
  </si>
  <si>
    <t>C0273</t>
  </si>
  <si>
    <t>O00086</t>
  </si>
  <si>
    <t>O00087</t>
  </si>
  <si>
    <t>C0158</t>
  </si>
  <si>
    <t>O00088</t>
  </si>
  <si>
    <t>O00089</t>
  </si>
  <si>
    <t>C0246</t>
  </si>
  <si>
    <t>O00090</t>
  </si>
  <si>
    <t>C0125</t>
  </si>
  <si>
    <t>O00091</t>
  </si>
  <si>
    <t>C0226</t>
  </si>
  <si>
    <t>O00092</t>
  </si>
  <si>
    <t>C0105</t>
  </si>
  <si>
    <t>O00093</t>
  </si>
  <si>
    <t>O00094</t>
  </si>
  <si>
    <t>C0245</t>
  </si>
  <si>
    <t>O00095</t>
  </si>
  <si>
    <t>C0236</t>
  </si>
  <si>
    <t>O00096</t>
  </si>
  <si>
    <t>O00097</t>
  </si>
  <si>
    <t>O00098</t>
  </si>
  <si>
    <t>C0148</t>
  </si>
  <si>
    <t>O00099</t>
  </si>
  <si>
    <t>O00100</t>
  </si>
  <si>
    <t>C0294</t>
  </si>
  <si>
    <t>O00101</t>
  </si>
  <si>
    <t>C0075</t>
  </si>
  <si>
    <t>O00102</t>
  </si>
  <si>
    <t>C0041</t>
  </si>
  <si>
    <t>O00103</t>
  </si>
  <si>
    <t>O00104</t>
  </si>
  <si>
    <t>C0288</t>
  </si>
  <si>
    <t>O00105</t>
  </si>
  <si>
    <t>C0123</t>
  </si>
  <si>
    <t>O00106</t>
  </si>
  <si>
    <t>C0120</t>
  </si>
  <si>
    <t>O00107</t>
  </si>
  <si>
    <t>C0242</t>
  </si>
  <si>
    <t>O00108</t>
  </si>
  <si>
    <t>C0081</t>
  </si>
  <si>
    <t>O00109</t>
  </si>
  <si>
    <t>C0103</t>
  </si>
  <si>
    <t>O00110</t>
  </si>
  <si>
    <t>O00111</t>
  </si>
  <si>
    <t>C0274</t>
  </si>
  <si>
    <t>O00112</t>
  </si>
  <si>
    <t>C0091</t>
  </si>
  <si>
    <t>O00113</t>
  </si>
  <si>
    <t>O00114</t>
  </si>
  <si>
    <t>C0153</t>
  </si>
  <si>
    <t>O00115</t>
  </si>
  <si>
    <t>C0233</t>
  </si>
  <si>
    <t>O00116</t>
  </si>
  <si>
    <t>O00117</t>
  </si>
  <si>
    <t>C0084</t>
  </si>
  <si>
    <t>O00118</t>
  </si>
  <si>
    <t>O00119</t>
  </si>
  <si>
    <t>C0099</t>
  </si>
  <si>
    <t>O00120</t>
  </si>
  <si>
    <t>C0168</t>
  </si>
  <si>
    <t>O00121</t>
  </si>
  <si>
    <t>C0072</t>
  </si>
  <si>
    <t>O00122</t>
  </si>
  <si>
    <t>C0134</t>
  </si>
  <si>
    <t>O00123</t>
  </si>
  <si>
    <t>C0169</t>
  </si>
  <si>
    <t>O00124</t>
  </si>
  <si>
    <t>C0185</t>
  </si>
  <si>
    <t>O00125</t>
  </si>
  <si>
    <t>O00126</t>
  </si>
  <si>
    <t>O00127</t>
  </si>
  <si>
    <t>O00128</t>
  </si>
  <si>
    <t>O00129</t>
  </si>
  <si>
    <t>C0213</t>
  </si>
  <si>
    <t>O00130</t>
  </si>
  <si>
    <t>C0112</t>
  </si>
  <si>
    <t>O00131</t>
  </si>
  <si>
    <t>C0270</t>
  </si>
  <si>
    <t>O00132</t>
  </si>
  <si>
    <t>C0058</t>
  </si>
  <si>
    <t>O00133</t>
  </si>
  <si>
    <t>C0077</t>
  </si>
  <si>
    <t>O00134</t>
  </si>
  <si>
    <t>C0060</t>
  </si>
  <si>
    <t>O00135</t>
  </si>
  <si>
    <t>O00136</t>
  </si>
  <si>
    <t>C0068</t>
  </si>
  <si>
    <t>O00137</t>
  </si>
  <si>
    <t>C0030</t>
  </si>
  <si>
    <t>O00138</t>
  </si>
  <si>
    <t>C0012</t>
  </si>
  <si>
    <t>O00139</t>
  </si>
  <si>
    <t>O00140</t>
  </si>
  <si>
    <t>C0177</t>
  </si>
  <si>
    <t>O00141</t>
  </si>
  <si>
    <t>C0036</t>
  </si>
  <si>
    <t>O00142</t>
  </si>
  <si>
    <t>O00143</t>
  </si>
  <si>
    <t>C0196</t>
  </si>
  <si>
    <t>O00144</t>
  </si>
  <si>
    <t>C0277</t>
  </si>
  <si>
    <t>O00145</t>
  </si>
  <si>
    <t>C0276</t>
  </si>
  <si>
    <t>O00146</t>
  </si>
  <si>
    <t>O00147</t>
  </si>
  <si>
    <t>O00148</t>
  </si>
  <si>
    <t>C0178</t>
  </si>
  <si>
    <t>O00149</t>
  </si>
  <si>
    <t>O00150</t>
  </si>
  <si>
    <t>C0124</t>
  </si>
  <si>
    <t>O00151</t>
  </si>
  <si>
    <t>C0018</t>
  </si>
  <si>
    <t>O00152</t>
  </si>
  <si>
    <t>O00153</t>
  </si>
  <si>
    <t>O00154</t>
  </si>
  <si>
    <t>C0149</t>
  </si>
  <si>
    <t>O00155</t>
  </si>
  <si>
    <t>O00156</t>
  </si>
  <si>
    <t>C0267</t>
  </si>
  <si>
    <t>O00157</t>
  </si>
  <si>
    <t>C0032</t>
  </si>
  <si>
    <t>O00158</t>
  </si>
  <si>
    <t>O00159</t>
  </si>
  <si>
    <t>O00160</t>
  </si>
  <si>
    <t>O00161</t>
  </si>
  <si>
    <t>O00162</t>
  </si>
  <si>
    <t>C0074</t>
  </si>
  <si>
    <t>O00163</t>
  </si>
  <si>
    <t>C0212</t>
  </si>
  <si>
    <t>O00164</t>
  </si>
  <si>
    <t>C0131</t>
  </si>
  <si>
    <t>O00165</t>
  </si>
  <si>
    <t>C0190</t>
  </si>
  <si>
    <t>O00166</t>
  </si>
  <si>
    <t>C0194</t>
  </si>
  <si>
    <t>O00167</t>
  </si>
  <si>
    <t>C0287</t>
  </si>
  <si>
    <t>O00168</t>
  </si>
  <si>
    <t>O00169</t>
  </si>
  <si>
    <t>O00170</t>
  </si>
  <si>
    <t>O00171</t>
  </si>
  <si>
    <t>C0145</t>
  </si>
  <si>
    <t>O00172</t>
  </si>
  <si>
    <t>C0184</t>
  </si>
  <si>
    <t>O00173</t>
  </si>
  <si>
    <t>C0255</t>
  </si>
  <si>
    <t>O00174</t>
  </si>
  <si>
    <t>O00175</t>
  </si>
  <si>
    <t>C0289</t>
  </si>
  <si>
    <t>O00176</t>
  </si>
  <si>
    <t>O00177</t>
  </si>
  <si>
    <t>O00178</t>
  </si>
  <si>
    <t>C0126</t>
  </si>
  <si>
    <t>O00179</t>
  </si>
  <si>
    <t>C0252</t>
  </si>
  <si>
    <t>O00180</t>
  </si>
  <si>
    <t>O00181</t>
  </si>
  <si>
    <t>O00182</t>
  </si>
  <si>
    <t>O00183</t>
  </si>
  <si>
    <t>C0119</t>
  </si>
  <si>
    <t>O00184</t>
  </si>
  <si>
    <t>O00185</t>
  </si>
  <si>
    <t>C0248</t>
  </si>
  <si>
    <t>O00186</t>
  </si>
  <si>
    <t>O00187</t>
  </si>
  <si>
    <t>O00188</t>
  </si>
  <si>
    <t>O00189</t>
  </si>
  <si>
    <t>C0050</t>
  </si>
  <si>
    <t>O00190</t>
  </si>
  <si>
    <t>O00191</t>
  </si>
  <si>
    <t>O00192</t>
  </si>
  <si>
    <t>O00193</t>
  </si>
  <si>
    <t>C0042</t>
  </si>
  <si>
    <t>O00194</t>
  </si>
  <si>
    <t>C0195</t>
  </si>
  <si>
    <t>O00195</t>
  </si>
  <si>
    <t>O00196</t>
  </si>
  <si>
    <t>C0223</t>
  </si>
  <si>
    <t>O00197</t>
  </si>
  <si>
    <t>O00198</t>
  </si>
  <si>
    <t>C0291</t>
  </si>
  <si>
    <t>O00199</t>
  </si>
  <si>
    <t>C0144</t>
  </si>
  <si>
    <t>O00200</t>
  </si>
  <si>
    <t>O00201</t>
  </si>
  <si>
    <t>O00202</t>
  </si>
  <si>
    <t>O00203</t>
  </si>
  <si>
    <t>O00204</t>
  </si>
  <si>
    <t>C0224</t>
  </si>
  <si>
    <t>O00205</t>
  </si>
  <si>
    <t>O00206</t>
  </si>
  <si>
    <t>C0140</t>
  </si>
  <si>
    <t>O00207</t>
  </si>
  <si>
    <t>C0183</t>
  </si>
  <si>
    <t>O00208</t>
  </si>
  <si>
    <t>C0300</t>
  </si>
  <si>
    <t>O00209</t>
  </si>
  <si>
    <t>O00210</t>
  </si>
  <si>
    <t>C0138</t>
  </si>
  <si>
    <t>O00211</t>
  </si>
  <si>
    <t>C0200</t>
  </si>
  <si>
    <t>O00212</t>
  </si>
  <si>
    <t>C0003</t>
  </si>
  <si>
    <t>O00213</t>
  </si>
  <si>
    <t>C0053</t>
  </si>
  <si>
    <t>O00214</t>
  </si>
  <si>
    <t>C0230</t>
  </si>
  <si>
    <t>O00215</t>
  </si>
  <si>
    <t>C0046</t>
  </si>
  <si>
    <t>O00216</t>
  </si>
  <si>
    <t>C0167</t>
  </si>
  <si>
    <t>O00217</t>
  </si>
  <si>
    <t>O00218</t>
  </si>
  <si>
    <t>C0293</t>
  </si>
  <si>
    <t>O00219</t>
  </si>
  <si>
    <t>O00220</t>
  </si>
  <si>
    <t>O00221</t>
  </si>
  <si>
    <t>C0216</t>
  </si>
  <si>
    <t>O00222</t>
  </si>
  <si>
    <t>C0129</t>
  </si>
  <si>
    <t>O00223</t>
  </si>
  <si>
    <t>O00224</t>
  </si>
  <si>
    <t>C0004</t>
  </si>
  <si>
    <t>O00225</t>
  </si>
  <si>
    <t>O00226</t>
  </si>
  <si>
    <t>O00227</t>
  </si>
  <si>
    <t>O00228</t>
  </si>
  <si>
    <t>O00229</t>
  </si>
  <si>
    <t>O00230</t>
  </si>
  <si>
    <t>C0059</t>
  </si>
  <si>
    <t>O00231</t>
  </si>
  <si>
    <t>C0093</t>
  </si>
  <si>
    <t>O00232</t>
  </si>
  <si>
    <t>C0108</t>
  </si>
  <si>
    <t>O00233</t>
  </si>
  <si>
    <t>C0256</t>
  </si>
  <si>
    <t>O00234</t>
  </si>
  <si>
    <t>O00235</t>
  </si>
  <si>
    <t>O00236</t>
  </si>
  <si>
    <t>O00237</t>
  </si>
  <si>
    <t>O00238</t>
  </si>
  <si>
    <t>C0182</t>
  </si>
  <si>
    <t>O00239</t>
  </si>
  <si>
    <t>C0205</t>
  </si>
  <si>
    <t>O00240</t>
  </si>
  <si>
    <t>C0006</t>
  </si>
  <si>
    <t>O00241</t>
  </si>
  <si>
    <t>O00242</t>
  </si>
  <si>
    <t>C0201</t>
  </si>
  <si>
    <t>O00243</t>
  </si>
  <si>
    <t>O00244</t>
  </si>
  <si>
    <t>O00245</t>
  </si>
  <si>
    <t>C0176</t>
  </si>
  <si>
    <t>O00246</t>
  </si>
  <si>
    <t>C0179</t>
  </si>
  <si>
    <t>O00247</t>
  </si>
  <si>
    <t>C0232</t>
  </si>
  <si>
    <t>O00248</t>
  </si>
  <si>
    <t>O00249</t>
  </si>
  <si>
    <t>C0085</t>
  </si>
  <si>
    <t>O00250</t>
  </si>
  <si>
    <t>C0283</t>
  </si>
  <si>
    <t>O00251</t>
  </si>
  <si>
    <t>C0237</t>
  </si>
  <si>
    <t>O00252</t>
  </si>
  <si>
    <t>C0222</t>
  </si>
  <si>
    <t>O00253</t>
  </si>
  <si>
    <t>C0231</t>
  </si>
  <si>
    <t>O00254</t>
  </si>
  <si>
    <t>C0110</t>
  </si>
  <si>
    <t>O00255</t>
  </si>
  <si>
    <t>O00256</t>
  </si>
  <si>
    <t>O00257</t>
  </si>
  <si>
    <t>C0251</t>
  </si>
  <si>
    <t>O00258</t>
  </si>
  <si>
    <t>O00259</t>
  </si>
  <si>
    <t>O00260</t>
  </si>
  <si>
    <t>C0044</t>
  </si>
  <si>
    <t>O00261</t>
  </si>
  <si>
    <t>O00262</t>
  </si>
  <si>
    <t>C0073</t>
  </si>
  <si>
    <t>O00263</t>
  </si>
  <si>
    <t>O00264</t>
  </si>
  <si>
    <t>C0250</t>
  </si>
  <si>
    <t>O00265</t>
  </si>
  <si>
    <t>O00266</t>
  </si>
  <si>
    <t>O00267</t>
  </si>
  <si>
    <t>C0249</t>
  </si>
  <si>
    <t>O00268</t>
  </si>
  <si>
    <t>O00269</t>
  </si>
  <si>
    <t>O00270</t>
  </si>
  <si>
    <t>C0043</t>
  </si>
  <si>
    <t>O00271</t>
  </si>
  <si>
    <t>C0017</t>
  </si>
  <si>
    <t>O00272</t>
  </si>
  <si>
    <t>O00273</t>
  </si>
  <si>
    <t>O00274</t>
  </si>
  <si>
    <t>O00275</t>
  </si>
  <si>
    <t>O00276</t>
  </si>
  <si>
    <t>C0127</t>
  </si>
  <si>
    <t>O00277</t>
  </si>
  <si>
    <t>O00278</t>
  </si>
  <si>
    <t>C0122</t>
  </si>
  <si>
    <t>O00279</t>
  </si>
  <si>
    <t>O00280</t>
  </si>
  <si>
    <t>O00281</t>
  </si>
  <si>
    <t>O00282</t>
  </si>
  <si>
    <t>O00283</t>
  </si>
  <si>
    <t>O00284</t>
  </si>
  <si>
    <t>O00285</t>
  </si>
  <si>
    <t>C0202</t>
  </si>
  <si>
    <t>O00286</t>
  </si>
  <si>
    <t>O00287</t>
  </si>
  <si>
    <t>C0039</t>
  </si>
  <si>
    <t>O00288</t>
  </si>
  <si>
    <t>O00289</t>
  </si>
  <si>
    <t>O00290</t>
  </si>
  <si>
    <t>O00291</t>
  </si>
  <si>
    <t>O00292</t>
  </si>
  <si>
    <t>O00293</t>
  </si>
  <si>
    <t>C0296</t>
  </si>
  <si>
    <t>O00294</t>
  </si>
  <si>
    <t>O00295</t>
  </si>
  <si>
    <t>C0064</t>
  </si>
  <si>
    <t>O00296</t>
  </si>
  <si>
    <t>C0001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</si>
  <si>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</si>
  <si>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</si>
  <si>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</si>
  <si>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</si>
  <si>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</si>
  <si>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</si>
  <si>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</si>
  <si>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</si>
  <si>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</si>
  <si>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</si>
  <si>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</si>
  <si>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C0069</t>
  </si>
  <si>
    <t>O00308</t>
  </si>
  <si>
    <t>O00309</t>
  </si>
  <si>
    <t>O00310</t>
  </si>
  <si>
    <t>C0227</t>
  </si>
  <si>
    <t>O00311</t>
  </si>
  <si>
    <t>O00312</t>
  </si>
  <si>
    <t>C0197</t>
  </si>
  <si>
    <t>O00313</t>
  </si>
  <si>
    <t>O00314</t>
  </si>
  <si>
    <t>C0146</t>
  </si>
  <si>
    <t>O00315</t>
  </si>
  <si>
    <t>O00316</t>
  </si>
  <si>
    <t>C0028</t>
  </si>
  <si>
    <t>O00317</t>
  </si>
  <si>
    <t>O00318</t>
  </si>
  <si>
    <t>O00319</t>
  </si>
  <si>
    <t>O00320</t>
  </si>
  <si>
    <t>C0089</t>
  </si>
  <si>
    <t>O00321</t>
  </si>
  <si>
    <t>O00322</t>
  </si>
  <si>
    <t>O00323</t>
  </si>
  <si>
    <t>C0257</t>
  </si>
  <si>
    <t>O00324</t>
  </si>
  <si>
    <t>C0206</t>
  </si>
  <si>
    <t>O00325</t>
  </si>
  <si>
    <t>O00326</t>
  </si>
  <si>
    <t>O00327</t>
  </si>
  <si>
    <t>O00328</t>
  </si>
  <si>
    <t>C0045</t>
  </si>
  <si>
    <t>O00329</t>
  </si>
  <si>
    <t>C0029</t>
  </si>
  <si>
    <t>O00330</t>
  </si>
  <si>
    <t>O00331</t>
  </si>
  <si>
    <t>O00332</t>
  </si>
  <si>
    <t>C0065</t>
  </si>
  <si>
    <t>O00333</t>
  </si>
  <si>
    <t>C0172</t>
  </si>
  <si>
    <t>O00334</t>
  </si>
  <si>
    <t>O00335</t>
  </si>
  <si>
    <t>C0262</t>
  </si>
  <si>
    <t>O00336</t>
  </si>
  <si>
    <t>C0086</t>
  </si>
  <si>
    <t>O00337</t>
  </si>
  <si>
    <t>O00338</t>
  </si>
  <si>
    <t>O00339</t>
  </si>
  <si>
    <t>O00340</t>
  </si>
  <si>
    <t>C0092</t>
  </si>
  <si>
    <t>O00341</t>
  </si>
  <si>
    <t>C0215</t>
  </si>
  <si>
    <t>O00342</t>
  </si>
  <si>
    <t>O00343</t>
  </si>
  <si>
    <t>C0062</t>
  </si>
  <si>
    <t>O00344</t>
  </si>
  <si>
    <t>C0265</t>
  </si>
  <si>
    <t>O00345</t>
  </si>
  <si>
    <t>O00346</t>
  </si>
  <si>
    <t>C0284</t>
  </si>
  <si>
    <t>O00347</t>
  </si>
  <si>
    <t>C0150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</si>
  <si>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</si>
  <si>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</si>
  <si>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</si>
  <si>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</si>
  <si>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</si>
  <si>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</si>
  <si>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</si>
  <si>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</si>
  <si>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</si>
  <si>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</si>
  <si>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</si>
  <si>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</si>
  <si>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</si>
  <si>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</si>
  <si>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</si>
  <si>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</si>
  <si>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</si>
  <si>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</si>
  <si>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</si>
  <si>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C0076</t>
  </si>
  <si>
    <t>O00367</t>
  </si>
  <si>
    <t>C0263</t>
  </si>
  <si>
    <t>O00368</t>
  </si>
  <si>
    <t>C0016</t>
  </si>
  <si>
    <t>O00369</t>
  </si>
  <si>
    <t>C0282</t>
  </si>
  <si>
    <t>O00370</t>
  </si>
  <si>
    <t>O00371</t>
  </si>
  <si>
    <t>O00372</t>
  </si>
  <si>
    <t>O00373</t>
  </si>
  <si>
    <t>O00374</t>
  </si>
  <si>
    <t>C0170</t>
  </si>
  <si>
    <t>O00375</t>
  </si>
  <si>
    <t>O00376</t>
  </si>
  <si>
    <t>O00377</t>
  </si>
  <si>
    <t>O00378</t>
  </si>
  <si>
    <t>C0229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</si>
  <si>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</si>
  <si>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</si>
  <si>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</si>
  <si>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</si>
  <si>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</si>
  <si>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</si>
  <si>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</si>
  <si>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</si>
  <si>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</si>
  <si>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</si>
  <si>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</si>
  <si>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C0199</t>
  </si>
  <si>
    <t>O00390</t>
  </si>
  <si>
    <t>C0163</t>
  </si>
  <si>
    <t>O00391</t>
  </si>
  <si>
    <t>O00392</t>
  </si>
  <si>
    <t>C0253</t>
  </si>
  <si>
    <t>O00393</t>
  </si>
  <si>
    <t>C0020</t>
  </si>
  <si>
    <t>O00394</t>
  </si>
  <si>
    <t>C0113</t>
  </si>
  <si>
    <t>O00395</t>
  </si>
  <si>
    <t>O00396</t>
  </si>
  <si>
    <t>O00397</t>
  </si>
  <si>
    <t>O00398</t>
  </si>
  <si>
    <t>C0187</t>
  </si>
  <si>
    <t>O00399</t>
  </si>
  <si>
    <t>C0052</t>
  </si>
  <si>
    <t>O00400</t>
  </si>
  <si>
    <t>O00401</t>
  </si>
  <si>
    <t>O00402</t>
  </si>
  <si>
    <t>O00403</t>
  </si>
  <si>
    <t>O00404</t>
  </si>
  <si>
    <t>O00405</t>
  </si>
  <si>
    <t>C0114</t>
  </si>
  <si>
    <t>O00406</t>
  </si>
  <si>
    <t>O00407</t>
  </si>
  <si>
    <t>O00408</t>
  </si>
  <si>
    <t>O00409</t>
  </si>
  <si>
    <t>O00410</t>
  </si>
  <si>
    <t>O00411</t>
  </si>
  <si>
    <t>O00412</t>
  </si>
  <si>
    <t>C0180</t>
  </si>
  <si>
    <t>O00413</t>
  </si>
  <si>
    <t>O00414</t>
  </si>
  <si>
    <t>O00415</t>
  </si>
  <si>
    <t>O00416</t>
  </si>
  <si>
    <t>C0088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</si>
  <si>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</si>
  <si>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</si>
  <si>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</si>
  <si>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</si>
  <si>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</si>
  <si>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</si>
  <si>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</si>
  <si>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</si>
  <si>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</si>
  <si>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</si>
  <si>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</si>
  <si>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</si>
  <si>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</si>
  <si>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</si>
  <si>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</si>
  <si>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</si>
  <si>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</si>
  <si>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C0117</t>
  </si>
  <si>
    <t>O00434</t>
  </si>
  <si>
    <t>O00435</t>
  </si>
  <si>
    <t>C0244</t>
  </si>
  <si>
    <t>O00436</t>
  </si>
  <si>
    <t>O00437</t>
  </si>
  <si>
    <t>O00438</t>
  </si>
  <si>
    <t>O00439</t>
  </si>
  <si>
    <t>O00440</t>
  </si>
  <si>
    <t>O00441</t>
  </si>
  <si>
    <t>O00442</t>
  </si>
  <si>
    <t>C0007</t>
  </si>
  <si>
    <t>O00443</t>
  </si>
  <si>
    <t>O00444</t>
  </si>
  <si>
    <t>O00445</t>
  </si>
  <si>
    <t>C0211</t>
  </si>
  <si>
    <t>O00446</t>
  </si>
  <si>
    <t>C0243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</si>
  <si>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</si>
  <si>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</si>
  <si>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</si>
  <si>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</si>
  <si>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</si>
  <si>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</si>
  <si>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</si>
  <si>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</si>
  <si>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C0109</t>
  </si>
  <si>
    <t>O00455</t>
  </si>
  <si>
    <t>C0192</t>
  </si>
  <si>
    <t>O00456</t>
  </si>
  <si>
    <t>O00457</t>
  </si>
  <si>
    <t>C0292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</si>
  <si>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</si>
  <si>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</si>
  <si>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</si>
  <si>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</si>
  <si>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</si>
  <si>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</si>
  <si>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</si>
  <si>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</si>
  <si>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</si>
  <si>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</si>
  <si>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</si>
  <si>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</si>
  <si>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C0115</t>
  </si>
  <si>
    <t>O00470</t>
  </si>
  <si>
    <t>C0193</t>
  </si>
  <si>
    <t>O00471</t>
  </si>
  <si>
    <t>O00472</t>
  </si>
  <si>
    <t>O00473</t>
  </si>
  <si>
    <t>O00474</t>
  </si>
  <si>
    <t>C0056</t>
  </si>
  <si>
    <t>O00475</t>
  </si>
  <si>
    <t>O00476</t>
  </si>
  <si>
    <t>O00477</t>
  </si>
  <si>
    <t>O00478</t>
  </si>
  <si>
    <t>O00479</t>
  </si>
  <si>
    <t>C0133</t>
  </si>
  <si>
    <t>O00480</t>
  </si>
  <si>
    <t>C0019</t>
  </si>
  <si>
    <t>O00481</t>
  </si>
  <si>
    <t>O00482</t>
  </si>
  <si>
    <t>O00483</t>
  </si>
  <si>
    <t>C0151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</si>
  <si>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</si>
  <si>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</si>
  <si>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</si>
  <si>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</si>
  <si>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</si>
  <si>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</si>
  <si>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</si>
  <si>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</si>
  <si>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</si>
  <si>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</si>
  <si>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</si>
  <si>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</si>
  <si>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</si>
  <si>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</si>
  <si>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</si>
  <si>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</si>
  <si>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</si>
  <si>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</si>
  <si>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</si>
  <si>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</si>
  <si>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</si>
  <si>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</si>
  <si>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</si>
  <si>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</si>
  <si>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</si>
  <si>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</si>
  <si>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</si>
  <si>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C0011</t>
  </si>
  <si>
    <t>O00511</t>
  </si>
  <si>
    <t>O00512</t>
  </si>
  <si>
    <t>O00513</t>
  </si>
  <si>
    <t>O00514</t>
  </si>
  <si>
    <t>O00515</t>
  </si>
  <si>
    <t>O00516</t>
  </si>
  <si>
    <t>C0102</t>
  </si>
  <si>
    <t>O00517</t>
  </si>
  <si>
    <t>O00518</t>
  </si>
  <si>
    <t>C0021</t>
  </si>
  <si>
    <t>O00519</t>
  </si>
  <si>
    <t>C0247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</si>
  <si>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</si>
  <si>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</si>
  <si>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</si>
  <si>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</si>
  <si>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</si>
  <si>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</si>
  <si>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</si>
  <si>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</si>
  <si>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</si>
  <si>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C0048</t>
  </si>
  <si>
    <t>O00529</t>
  </si>
  <si>
    <t>O00530</t>
  </si>
  <si>
    <t>O00531</t>
  </si>
  <si>
    <t>O00532</t>
  </si>
  <si>
    <t>O00533</t>
  </si>
  <si>
    <t>O00534</t>
  </si>
  <si>
    <t>C0015</t>
  </si>
  <si>
    <t>O00535</t>
  </si>
  <si>
    <t>O00536</t>
  </si>
  <si>
    <t>O00537</t>
  </si>
  <si>
    <t>C0269</t>
  </si>
  <si>
    <t>O00538</t>
  </si>
  <si>
    <t>C0268</t>
  </si>
  <si>
    <t>O00539</t>
  </si>
  <si>
    <t>O00540</t>
  </si>
  <si>
    <t>C0286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</si>
  <si>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</si>
  <si>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</si>
  <si>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</si>
  <si>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</si>
  <si>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</si>
  <si>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</si>
  <si>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</si>
  <si>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</si>
  <si>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</si>
  <si>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</si>
  <si>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</si>
  <si>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</si>
  <si>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</si>
  <si>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C0175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</si>
  <si>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</si>
  <si>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</si>
  <si>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</si>
  <si>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</si>
  <si>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</si>
  <si>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</si>
  <si>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</si>
  <si>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</si>
  <si>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</si>
  <si>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</si>
  <si>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</si>
  <si>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</si>
  <si>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</si>
  <si>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</si>
  <si>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</si>
  <si>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</si>
  <si>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</si>
  <si>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</si>
  <si>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C0217</t>
  </si>
  <si>
    <t>O00572</t>
  </si>
  <si>
    <t>C0013</t>
  </si>
  <si>
    <t>O00573</t>
  </si>
  <si>
    <t>O00574</t>
  </si>
  <si>
    <t>O00575</t>
  </si>
  <si>
    <t>C0278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</si>
  <si>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</si>
  <si>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</si>
  <si>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</si>
  <si>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</si>
  <si>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</si>
  <si>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</si>
  <si>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</si>
  <si>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</si>
  <si>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C0264</t>
  </si>
  <si>
    <t>O00584</t>
  </si>
  <si>
    <t>O00585</t>
  </si>
  <si>
    <t>O00586</t>
  </si>
  <si>
    <t>C0239</t>
  </si>
  <si>
    <t>O00587</t>
  </si>
  <si>
    <t>C0166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</si>
  <si>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</si>
  <si>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</si>
  <si>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</si>
  <si>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</si>
  <si>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</si>
  <si>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</si>
  <si>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</si>
  <si>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</si>
  <si>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</si>
  <si>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C0198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</si>
  <si>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</si>
  <si>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</si>
  <si>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</si>
  <si>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</si>
  <si>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</si>
  <si>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</si>
  <si>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</si>
  <si>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</si>
  <si>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</si>
  <si>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</si>
  <si>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</si>
  <si>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</si>
  <si>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</si>
  <si>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</si>
  <si>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</si>
  <si>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</si>
  <si>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</si>
  <si>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</si>
  <si>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C0285</t>
  </si>
  <si>
    <t>O00615</t>
  </si>
  <si>
    <t>O00616</t>
  </si>
  <si>
    <t>O00617</t>
  </si>
  <si>
    <t>O00618</t>
  </si>
  <si>
    <t>O00619</t>
  </si>
  <si>
    <t>O00620</t>
  </si>
  <si>
    <t>O00621</t>
  </si>
  <si>
    <t>C0051</t>
  </si>
  <si>
    <t>O00622</t>
  </si>
  <si>
    <t>O00623</t>
  </si>
  <si>
    <t>O00624</t>
  </si>
  <si>
    <t>O00625</t>
  </si>
  <si>
    <t>C0290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</si>
  <si>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</si>
  <si>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</si>
  <si>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</si>
  <si>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</si>
  <si>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</si>
  <si>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</si>
  <si>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</si>
  <si>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</si>
  <si>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</si>
  <si>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</si>
  <si>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</si>
  <si>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</si>
  <si>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</si>
  <si>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</si>
  <si>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</si>
  <si>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</si>
  <si>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</si>
  <si>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</si>
  <si>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C0106</t>
  </si>
  <si>
    <t>O00644</t>
  </si>
  <si>
    <t>O00645</t>
  </si>
  <si>
    <t>O00646</t>
  </si>
  <si>
    <t>C0279</t>
  </si>
  <si>
    <t>O00647</t>
  </si>
  <si>
    <t>O00648</t>
  </si>
  <si>
    <t>O00649</t>
  </si>
  <si>
    <t>O00650</t>
  </si>
  <si>
    <t>O00651</t>
  </si>
  <si>
    <t>C0118</t>
  </si>
  <si>
    <t>O00652</t>
  </si>
  <si>
    <t>O00653</t>
  </si>
  <si>
    <t>O00654</t>
  </si>
  <si>
    <t>O00655</t>
  </si>
  <si>
    <t>C0083</t>
  </si>
  <si>
    <t>O00656</t>
  </si>
  <si>
    <t>O00657</t>
  </si>
  <si>
    <t>O00658</t>
  </si>
  <si>
    <t>O00659</t>
  </si>
  <si>
    <t>O00660</t>
  </si>
  <si>
    <t>C0111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</si>
  <si>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</si>
  <si>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</si>
  <si>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</si>
  <si>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</si>
  <si>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</si>
  <si>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</si>
  <si>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</si>
  <si>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</si>
  <si>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</si>
  <si>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</si>
  <si>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</si>
  <si>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</si>
  <si>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C0295</t>
  </si>
  <si>
    <t>O00673</t>
  </si>
  <si>
    <t>O00674</t>
  </si>
  <si>
    <t>O00675</t>
  </si>
  <si>
    <t>O00676</t>
  </si>
  <si>
    <t>O00677</t>
  </si>
  <si>
    <t>C0186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</si>
  <si>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</si>
  <si>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</si>
  <si>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</si>
  <si>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</si>
  <si>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</si>
  <si>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</si>
  <si>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</si>
  <si>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</si>
  <si>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</si>
  <si>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</si>
  <si>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</si>
  <si>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</si>
  <si>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</si>
  <si>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</si>
  <si>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</si>
  <si>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</si>
  <si>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</si>
  <si>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</si>
  <si>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C0203</t>
  </si>
  <si>
    <t>O00696</t>
  </si>
  <si>
    <t>O00697</t>
  </si>
  <si>
    <t>O00698</t>
  </si>
  <si>
    <t>O00699</t>
  </si>
  <si>
    <t>O00700</t>
  </si>
  <si>
    <t>C0260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</si>
  <si>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</si>
  <si>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</si>
  <si>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</si>
  <si>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</si>
  <si>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</si>
  <si>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</si>
  <si>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</si>
  <si>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</si>
  <si>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</si>
  <si>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</si>
  <si>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</si>
  <si>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C0098</t>
  </si>
  <si>
    <t>O00712</t>
  </si>
  <si>
    <t>O00713</t>
  </si>
  <si>
    <t>O00714</t>
  </si>
  <si>
    <t>C0080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</si>
  <si>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</si>
  <si>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</si>
  <si>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</si>
  <si>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</si>
  <si>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</si>
  <si>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</si>
  <si>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</si>
  <si>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</si>
  <si>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</si>
  <si>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</si>
  <si>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</si>
  <si>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</si>
  <si>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C0191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</si>
  <si>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</si>
  <si>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</si>
  <si>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</si>
  <si>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</si>
  <si>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</si>
  <si>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</si>
  <si>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</si>
  <si>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</si>
  <si>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</si>
  <si>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</si>
  <si>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</si>
  <si>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</si>
  <si>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</si>
  <si>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</si>
  <si>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</si>
  <si>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</si>
  <si>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</si>
  <si>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</si>
  <si>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</si>
  <si>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</si>
  <si>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</si>
  <si>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</si>
  <si>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C0049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</si>
  <si>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</si>
  <si>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</si>
  <si>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</si>
  <si>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</si>
  <si>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</si>
  <si>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</si>
  <si>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</si>
  <si>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</si>
  <si>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</si>
  <si>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</si>
  <si>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</si>
  <si>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</si>
  <si>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</si>
  <si>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</si>
  <si>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</si>
  <si>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</si>
  <si>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C0097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</si>
  <si>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</si>
  <si>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</si>
  <si>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</si>
  <si>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</si>
  <si>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</si>
  <si>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</si>
  <si>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</si>
  <si>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</si>
  <si>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</si>
  <si>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</si>
  <si>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</si>
  <si>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</si>
  <si>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</si>
  <si>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</si>
  <si>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</si>
  <si>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</si>
  <si>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</si>
  <si>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C0107</t>
  </si>
  <si>
    <t>O00782</t>
  </si>
  <si>
    <t>C0082</t>
  </si>
  <si>
    <t>O00783</t>
  </si>
  <si>
    <t>O00784</t>
  </si>
  <si>
    <t>O00785</t>
  </si>
  <si>
    <t>C0121</t>
  </si>
  <si>
    <t>O00786</t>
  </si>
  <si>
    <t>O00787</t>
  </si>
  <si>
    <t>O00788</t>
  </si>
  <si>
    <t>C0298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</si>
  <si>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</si>
  <si>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</si>
  <si>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</si>
  <si>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</si>
  <si>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</si>
  <si>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</si>
  <si>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</si>
  <si>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</si>
  <si>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</si>
  <si>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</si>
  <si>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</si>
  <si>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</si>
  <si>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</si>
  <si>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C0095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</si>
  <si>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</si>
  <si>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</si>
  <si>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</si>
  <si>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</si>
  <si>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</si>
  <si>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</si>
  <si>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</si>
  <si>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</si>
  <si>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</si>
  <si>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C0037</t>
  </si>
  <si>
    <t>O00811</t>
  </si>
  <si>
    <t>O00812</t>
  </si>
  <si>
    <t>O00813</t>
  </si>
  <si>
    <t>O00814</t>
  </si>
  <si>
    <t>C0040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</si>
  <si>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</si>
  <si>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</si>
  <si>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</si>
  <si>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</si>
  <si>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</si>
  <si>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</si>
  <si>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</si>
  <si>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</si>
  <si>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</si>
  <si>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</si>
  <si>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</si>
  <si>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</si>
  <si>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</si>
  <si>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</si>
  <si>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</si>
  <si>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C0142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</si>
  <si>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</si>
  <si>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</si>
  <si>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</si>
  <si>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</si>
  <si>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</si>
  <si>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</si>
  <si>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</si>
  <si>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</si>
  <si>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</si>
  <si>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C0157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</si>
  <si>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</si>
  <si>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</si>
  <si>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</si>
  <si>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</si>
  <si>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</si>
  <si>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</si>
  <si>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</si>
  <si>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</si>
  <si>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</si>
  <si>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</si>
  <si>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</si>
  <si>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</si>
  <si>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</si>
  <si>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</si>
  <si>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</si>
  <si>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</si>
  <si>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</si>
  <si>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</si>
  <si>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C0057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</si>
  <si>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</si>
  <si>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</si>
  <si>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</si>
  <si>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</si>
  <si>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</si>
  <si>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</si>
  <si>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</si>
  <si>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</si>
  <si>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</si>
  <si>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</si>
  <si>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</si>
  <si>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</si>
  <si>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</si>
  <si>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</si>
  <si>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</si>
  <si>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</si>
  <si>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</si>
  <si>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</si>
  <si>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</si>
  <si>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</si>
  <si>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</si>
  <si>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</si>
  <si>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</si>
  <si>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</si>
  <si>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</si>
  <si>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</si>
  <si>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</si>
  <si>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</si>
  <si>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</si>
  <si>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</si>
  <si>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</si>
  <si>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</si>
  <si>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</si>
  <si>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C0139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</si>
  <si>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</si>
  <si>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</si>
  <si>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</si>
  <si>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</si>
  <si>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</si>
  <si>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</si>
  <si>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</si>
  <si>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</si>
  <si>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</si>
  <si>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</si>
  <si>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</si>
  <si>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</si>
  <si>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</si>
  <si>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</si>
  <si>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</si>
  <si>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</si>
  <si>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</si>
  <si>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</si>
  <si>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</si>
  <si>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</si>
  <si>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</si>
  <si>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</si>
  <si>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</si>
  <si>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</si>
  <si>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</si>
  <si>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</si>
  <si>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</si>
  <si>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</si>
  <si>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</si>
  <si>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</si>
  <si>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</si>
  <si>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</si>
  <si>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</si>
  <si>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C0297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</si>
  <si>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</si>
  <si>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</si>
  <si>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</si>
  <si>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</si>
  <si>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</si>
  <si>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</si>
  <si>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</si>
  <si>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</si>
  <si>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</si>
  <si>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</si>
  <si>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</si>
  <si>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</si>
  <si>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C0171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</si>
  <si>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</si>
  <si>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</si>
  <si>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</si>
  <si>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</si>
  <si>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</si>
  <si>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</si>
  <si>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</si>
  <si>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</si>
  <si>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</si>
  <si>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C0010</t>
  </si>
  <si>
    <t>O00944</t>
  </si>
  <si>
    <t>O00945</t>
  </si>
  <si>
    <t>O00946</t>
  </si>
  <si>
    <t>O00947</t>
  </si>
  <si>
    <t>C0162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</si>
  <si>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</si>
  <si>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</si>
  <si>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</si>
  <si>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</si>
  <si>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</si>
  <si>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</si>
  <si>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</si>
  <si>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</si>
  <si>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</si>
  <si>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</si>
  <si>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</si>
  <si>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C0160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</si>
  <si>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</si>
  <si>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</si>
  <si>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</si>
  <si>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</si>
  <si>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</si>
  <si>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</si>
  <si>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</si>
  <si>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</si>
  <si>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</si>
  <si>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</si>
  <si>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</si>
  <si>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</si>
  <si>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</si>
  <si>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</si>
  <si>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</si>
  <si>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</si>
  <si>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C0094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</si>
  <si>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</si>
  <si>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</si>
  <si>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</si>
  <si>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</si>
  <si>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</si>
  <si>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</si>
  <si>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</si>
  <si>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</si>
  <si>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</si>
  <si>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</si>
  <si>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</si>
  <si>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</si>
  <si>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</si>
  <si>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</si>
  <si>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</si>
  <si>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</si>
  <si>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</si>
  <si>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</si>
  <si>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</si>
  <si>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</si>
  <si>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C0207</t>
  </si>
  <si>
    <t>O00995</t>
  </si>
  <si>
    <t>O00996</t>
  </si>
  <si>
    <t>O00997</t>
  </si>
  <si>
    <t>O00998</t>
  </si>
  <si>
    <t>O00999</t>
  </si>
  <si>
    <t>No Campaign</t>
  </si>
  <si>
    <t>Month</t>
  </si>
  <si>
    <t>Campaign_Flag</t>
  </si>
  <si>
    <t>Profit_Margin</t>
  </si>
  <si>
    <t>Row Labels</t>
  </si>
  <si>
    <t>April 2025</t>
  </si>
  <si>
    <t>August 2024</t>
  </si>
  <si>
    <t>December 2024</t>
  </si>
  <si>
    <t>February 2025</t>
  </si>
  <si>
    <t>January 2025</t>
  </si>
  <si>
    <t>July 2024</t>
  </si>
  <si>
    <t>June 2024</t>
  </si>
  <si>
    <t>June 2025</t>
  </si>
  <si>
    <t>March 2025</t>
  </si>
  <si>
    <t>May 2025</t>
  </si>
  <si>
    <t>November 2024</t>
  </si>
  <si>
    <t>October 2024</t>
  </si>
  <si>
    <t>September 2024</t>
  </si>
  <si>
    <t>Grand Total</t>
  </si>
  <si>
    <t>Sum of Total_Sales</t>
  </si>
  <si>
    <t>Sum of Profit</t>
  </si>
  <si>
    <t>Sum of Units_Sold</t>
  </si>
  <si>
    <t>Campaign</t>
  </si>
  <si>
    <t>Non-Campaign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</si>
</sst>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8" formatCode="0.0%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textRotation="45"/>
    </xf>
    <xf numFmtId="9" fontId="0" fillId="0" borderId="0" xfId="0" applyNumberFormat="1" applyAlignment="1">
      <alignment textRotation="45"/>
    </xf>
    <xf numFmtId="9" fontId="0" fillId="0" borderId="0" xfId="0" applyNumberFormat="1"/>
    <xf numFmtId="164" fontId="0" fillId="0" borderId="0" xfId="0" applyNumberFormat="1" applyAlignment="1">
      <alignment textRotation="45"/>
    </xf>
    <xf numFmtId="164" fontId="0" fillId="0" borderId="0" xfId="0" applyNumberFormat="1"/>
    <xf numFmtId="168" fontId="0" fillId="0" borderId="0" xfId="0" applyNumberFormat="1" applyAlignment="1">
      <alignment textRotation="45"/>
    </xf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68" formatCode="0.0%"/>
    </dxf>
    <dxf>
      <numFmt numFmtId="0" formatCode="General"/>
    </dxf>
    <dxf>
      <numFmt numFmtId="19" formatCode="dd/mm/yyyy"/>
    </dxf>
    <dxf>
      <numFmt numFmtId="164" formatCode="&quot;£&quot;#,##0.00"/>
    </dxf>
    <dxf>
      <numFmt numFmtId="13" formatCode="0%"/>
    </dxf>
    <dxf>
      <alignment horizontal="general" vertical="bottom" textRotation="45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pivotCacheDefinition" Target="pivotCache/pivotCacheDefinition1.xml"/><Relationship Id="rId4" Type="http://purl.oclc.org/ooxml/officeDocument/relationships/worksheet" Target="worksheets/sheet4.xml"/><Relationship Id="rId9" Type="http://purl.oclc.org/ooxml/officeDocument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purl.oclc.org/ooxml/officeDocument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[Shopora_Orders.xlsx]Total Sales by Month!PivotTable1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808239274273223E-2"/>
          <c:y val="0.14565826330532214"/>
          <c:w val="0.88613185233975034"/>
          <c:h val="0.61639934714043099"/>
        </c:manualLayout>
      </c:layout>
      <c:lineChart>
        <c:grouping val="standard"/>
        <c:varyColors val="0"/>
        <c:ser>
          <c:idx val="0"/>
          <c:order val="0"/>
          <c:tx>
            <c:strRef>
              <c:f>'Total Sales by Month'!$B$3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'Total Sales by Month'!$A$4:$A$17</c:f>
              <c:strCache>
                <c:ptCount val="13"/>
                <c:pt idx="0">
                  <c:v>April 2025</c:v>
                </c:pt>
                <c:pt idx="1">
                  <c:v>August 2024</c:v>
                </c:pt>
                <c:pt idx="2">
                  <c:v>December 2024</c:v>
                </c:pt>
                <c:pt idx="3">
                  <c:v>February 2025</c:v>
                </c:pt>
                <c:pt idx="4">
                  <c:v>January 2025</c:v>
                </c:pt>
                <c:pt idx="5">
                  <c:v>July 2024</c:v>
                </c:pt>
                <c:pt idx="6">
                  <c:v>June 2024</c:v>
                </c:pt>
                <c:pt idx="7">
                  <c:v>June 2025</c:v>
                </c:pt>
                <c:pt idx="8">
                  <c:v>March 2025</c:v>
                </c:pt>
                <c:pt idx="9">
                  <c:v>May 2025</c:v>
                </c:pt>
                <c:pt idx="10">
                  <c:v>November 2024</c:v>
                </c:pt>
                <c:pt idx="11">
                  <c:v>October 2024</c:v>
                </c:pt>
                <c:pt idx="12">
                  <c:v>September 2024</c:v>
                </c:pt>
              </c:strCache>
            </c:strRef>
          </c:cat>
          <c:val>
            <c:numRef>
              <c:f>'Total Sales by Month'!$B$4:$B$17</c:f>
              <c:numCache>
                <c:formatCode>General</c:formatCode>
                <c:ptCount val="13"/>
                <c:pt idx="0">
                  <c:v>56572.320000000014</c:v>
                </c:pt>
                <c:pt idx="1">
                  <c:v>57402.279999999992</c:v>
                </c:pt>
                <c:pt idx="2">
                  <c:v>46421.850000000006</c:v>
                </c:pt>
                <c:pt idx="3">
                  <c:v>52014.760000000009</c:v>
                </c:pt>
                <c:pt idx="4">
                  <c:v>47766.640000000007</c:v>
                </c:pt>
                <c:pt idx="5">
                  <c:v>52476.290000000015</c:v>
                </c:pt>
                <c:pt idx="6">
                  <c:v>2723.87</c:v>
                </c:pt>
                <c:pt idx="7">
                  <c:v>49703.839999999997</c:v>
                </c:pt>
                <c:pt idx="8">
                  <c:v>42874.460000000006</c:v>
                </c:pt>
                <c:pt idx="9">
                  <c:v>70548.450000000012</c:v>
                </c:pt>
                <c:pt idx="10">
                  <c:v>53459.059999999983</c:v>
                </c:pt>
                <c:pt idx="11">
                  <c:v>61344.6</c:v>
                </c:pt>
                <c:pt idx="12">
                  <c:v>50359.109999999993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89-194C-9566-FF4B580530F8}"/>
            </c:ext>
          </c:extLst>
        </c:ser>
        <c:ser>
          <c:idx val="1"/>
          <c:order val="1"/>
          <c:tx>
            <c:strRef>
              <c:f>'Total Sales by Month'!$C$3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'Total Sales by Month'!$A$4:$A$17</c:f>
              <c:strCache>
                <c:ptCount val="13"/>
                <c:pt idx="0">
                  <c:v>April 2025</c:v>
                </c:pt>
                <c:pt idx="1">
                  <c:v>August 2024</c:v>
                </c:pt>
                <c:pt idx="2">
                  <c:v>December 2024</c:v>
                </c:pt>
                <c:pt idx="3">
                  <c:v>February 2025</c:v>
                </c:pt>
                <c:pt idx="4">
                  <c:v>January 2025</c:v>
                </c:pt>
                <c:pt idx="5">
                  <c:v>July 2024</c:v>
                </c:pt>
                <c:pt idx="6">
                  <c:v>June 2024</c:v>
                </c:pt>
                <c:pt idx="7">
                  <c:v>June 2025</c:v>
                </c:pt>
                <c:pt idx="8">
                  <c:v>March 2025</c:v>
                </c:pt>
                <c:pt idx="9">
                  <c:v>May 2025</c:v>
                </c:pt>
                <c:pt idx="10">
                  <c:v>November 2024</c:v>
                </c:pt>
                <c:pt idx="11">
                  <c:v>October 2024</c:v>
                </c:pt>
                <c:pt idx="12">
                  <c:v>September 2024</c:v>
                </c:pt>
              </c:strCache>
            </c:strRef>
          </c:cat>
          <c:val>
            <c:numRef>
              <c:f>'Total Sales by Month'!$C$4:$C$17</c:f>
              <c:numCache>
                <c:formatCode>"£"#,##0.00</c:formatCode>
                <c:ptCount val="13"/>
                <c:pt idx="0">
                  <c:v>17435.849999999999</c:v>
                </c:pt>
                <c:pt idx="1">
                  <c:v>20138.310000000009</c:v>
                </c:pt>
                <c:pt idx="2">
                  <c:v>14183.250000000005</c:v>
                </c:pt>
                <c:pt idx="3">
                  <c:v>14676.659999999996</c:v>
                </c:pt>
                <c:pt idx="4">
                  <c:v>13085.249999999993</c:v>
                </c:pt>
                <c:pt idx="5">
                  <c:v>16834.209999999995</c:v>
                </c:pt>
                <c:pt idx="6">
                  <c:v>682.23</c:v>
                </c:pt>
                <c:pt idx="7">
                  <c:v>15098.520000000006</c:v>
                </c:pt>
                <c:pt idx="8">
                  <c:v>12365.459999999997</c:v>
                </c:pt>
                <c:pt idx="9">
                  <c:v>21452.439999999995</c:v>
                </c:pt>
                <c:pt idx="10">
                  <c:v>15086.720000000001</c:v>
                </c:pt>
                <c:pt idx="11">
                  <c:v>18581.98</c:v>
                </c:pt>
                <c:pt idx="12">
                  <c:v>15730.859999999999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89-194C-9566-FF4B580530F8}"/>
            </c:ext>
          </c:extLst>
        </c:ser>
        <c:ser>
          <c:idx val="2"/>
          <c:order val="2"/>
          <c:tx>
            <c:strRef>
              <c:f>'Total Sales by Month'!$D$3</c:f>
              <c:strCache>
                <c:ptCount val="1"/>
                <c:pt idx="0">
                  <c:v>Sum of Units_Sold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'Total Sales by Month'!$A$4:$A$17</c:f>
              <c:strCache>
                <c:ptCount val="13"/>
                <c:pt idx="0">
                  <c:v>April 2025</c:v>
                </c:pt>
                <c:pt idx="1">
                  <c:v>August 2024</c:v>
                </c:pt>
                <c:pt idx="2">
                  <c:v>December 2024</c:v>
                </c:pt>
                <c:pt idx="3">
                  <c:v>February 2025</c:v>
                </c:pt>
                <c:pt idx="4">
                  <c:v>January 2025</c:v>
                </c:pt>
                <c:pt idx="5">
                  <c:v>July 2024</c:v>
                </c:pt>
                <c:pt idx="6">
                  <c:v>June 2024</c:v>
                </c:pt>
                <c:pt idx="7">
                  <c:v>June 2025</c:v>
                </c:pt>
                <c:pt idx="8">
                  <c:v>March 2025</c:v>
                </c:pt>
                <c:pt idx="9">
                  <c:v>May 2025</c:v>
                </c:pt>
                <c:pt idx="10">
                  <c:v>November 2024</c:v>
                </c:pt>
                <c:pt idx="11">
                  <c:v>October 2024</c:v>
                </c:pt>
                <c:pt idx="12">
                  <c:v>September 2024</c:v>
                </c:pt>
              </c:strCache>
            </c:strRef>
          </c:cat>
          <c:val>
            <c:numRef>
              <c:f>'Total Sales by Month'!$D$4:$D$17</c:f>
              <c:numCache>
                <c:formatCode>General</c:formatCode>
                <c:ptCount val="13"/>
                <c:pt idx="0">
                  <c:v>239</c:v>
                </c:pt>
                <c:pt idx="1">
                  <c:v>263</c:v>
                </c:pt>
                <c:pt idx="2">
                  <c:v>220</c:v>
                </c:pt>
                <c:pt idx="3">
                  <c:v>232</c:v>
                </c:pt>
                <c:pt idx="4">
                  <c:v>250</c:v>
                </c:pt>
                <c:pt idx="5">
                  <c:v>255</c:v>
                </c:pt>
                <c:pt idx="6">
                  <c:v>23</c:v>
                </c:pt>
                <c:pt idx="7">
                  <c:v>246</c:v>
                </c:pt>
                <c:pt idx="8">
                  <c:v>217</c:v>
                </c:pt>
                <c:pt idx="9">
                  <c:v>316</c:v>
                </c:pt>
                <c:pt idx="10">
                  <c:v>228</c:v>
                </c:pt>
                <c:pt idx="11">
                  <c:v>334</c:v>
                </c:pt>
                <c:pt idx="12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89-194C-9566-FF4B58053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1300495"/>
        <c:axId val="1246341743"/>
      </c:lineChart>
      <c:catAx>
        <c:axId val="112130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341743"/>
        <c:crosses val="autoZero"/>
        <c:auto val="1"/>
        <c:lblAlgn val="ctr"/>
        <c:lblOffset val="100"/>
        <c:noMultiLvlLbl val="0"/>
      </c:catAx>
      <c:valAx>
        <c:axId val="124634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30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595101943055599"/>
          <c:y val="0.91981759632987059"/>
          <c:w val="0.60710936798299453"/>
          <c:h val="7.17790423255916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33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4</xdr:col>
      <xdr:colOff>254000</xdr:colOff>
      <xdr:row>1</xdr:row>
      <xdr:rowOff>177800</xdr:rowOff>
    </xdr:from>
    <xdr:to>
      <xdr:col>13</xdr:col>
      <xdr:colOff>596900</xdr:colOff>
      <xdr:row>29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D73B89-1F5C-6477-ABD4-7237C77A3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c:userShapes xmlns:c="http://purl.oclc.org/ooxml/drawingml/chart">
  <cdr:relSizeAnchor xmlns:cdr="http://purl.oclc.org/ooxml/drawingml/chartDrawing">
    <cdr:from>
      <cdr:x>0.71944</cdr:x>
      <cdr:y>0.10417</cdr:y>
    </cdr:from>
    <cdr:to>
      <cdr:x>0.9</cdr:x>
      <cdr:y>0.28472</cdr:y>
    </cdr:to>
    <cdr:sp macro="" textlink="">
      <cdr:nvSpPr>
        <cdr:cNvPr id="2" name="TextBox 1">
          <a:extLst xmlns:a="http://purl.oclc.org/ooxml/drawingml/main">
            <a:ext uri="{FF2B5EF4-FFF2-40B4-BE49-F238E27FC236}">
              <a16:creationId xmlns:a16="http://schemas.microsoft.com/office/drawing/2014/main" id="{EF082ACC-94EC-4A2E-150D-44D6776098FD}"/>
            </a:ext>
          </a:extLst>
        </cdr:cNvPr>
        <cdr:cNvSpPr txBox="1"/>
      </cdr:nvSpPr>
      <cdr:spPr>
        <a:xfrm xmlns:a="http://purl.oclc.org/ooxml/drawingml/main">
          <a:off x="3289300" y="285750"/>
          <a:ext cx="825500" cy="495300"/>
        </a:xfrm>
        <a:prstGeom xmlns:a="http://purl.oclc.org/ooxml/drawingml/main" prst="rect">
          <a:avLst/>
        </a:prstGeom>
      </cdr:spPr>
      <cdr:txBody>
        <a:bodyPr xmlns:a="http://purl.oclc.org/ooxml/drawingml/main" vertOverflow="clip" wrap="square" rtlCol="0"/>
        <a:lstStyle xmlns:a="http://purl.oclc.org/ooxml/drawingml/main"/>
        <a:p xmlns:a="http://purl.oclc.org/ooxml/drawingml/main">
          <a:endParaRPr lang="en-GB" sz="1100" kern="1200"/>
        </a:p>
      </cdr:txBody>
    </cdr:sp>
  </cdr:relSizeAnchor>
  <cdr:relSizeAnchor xmlns:cdr="http://purl.oclc.org/ooxml/drawingml/chartDrawing">
    <cdr:from>
      <cdr:x>0.15209</cdr:x>
      <cdr:y>0.04202</cdr:y>
    </cdr:from>
    <cdr:to>
      <cdr:x>0.78517</cdr:x>
      <cdr:y>0.18207</cdr:y>
    </cdr:to>
    <cdr:sp macro="" textlink="">
      <cdr:nvSpPr>
        <cdr:cNvPr id="3" name="TextBox 2">
          <a:extLst xmlns:a="http://purl.oclc.org/ooxml/drawingml/main">
            <a:ext uri="{FF2B5EF4-FFF2-40B4-BE49-F238E27FC236}">
              <a16:creationId xmlns:a16="http://schemas.microsoft.com/office/drawing/2014/main" id="{49C6E78F-0DF1-0AEB-BC88-FE771AAF4AF2}"/>
            </a:ext>
          </a:extLst>
        </cdr:cNvPr>
        <cdr:cNvSpPr txBox="1"/>
      </cdr:nvSpPr>
      <cdr:spPr>
        <a:xfrm xmlns:a="http://purl.oclc.org/ooxml/drawingml/main">
          <a:off x="1016000" y="190500"/>
          <a:ext cx="4229100" cy="635000"/>
        </a:xfrm>
        <a:prstGeom xmlns:a="http://purl.oclc.org/ooxml/drawingml/main" prst="rect">
          <a:avLst/>
        </a:prstGeom>
      </cdr:spPr>
      <cdr:txBody>
        <a:bodyPr xmlns:a="http://purl.oclc.org/ooxml/drawingml/main" vertOverflow="clip" wrap="square" rtlCol="0" anchor="ctr"/>
        <a:lstStyle xmlns:a="http://purl.oclc.org/ooxml/drawingml/main"/>
        <a:p xmlns:a="http://purl.oclc.org/ooxml/drawingml/main">
          <a:pPr algn="ctr"/>
          <a:endParaRPr lang="en-GB" sz="1100" kern="1200"/>
        </a:p>
      </cdr:txBody>
    </cdr:sp>
  </cdr:relSizeAnchor>
  <cdr:relSizeAnchor xmlns:cdr="http://purl.oclc.org/ooxml/drawingml/chartDrawing">
    <cdr:from>
      <cdr:x>0.17871</cdr:x>
      <cdr:y>0.04762</cdr:y>
    </cdr:from>
    <cdr:to>
      <cdr:x>0.79278</cdr:x>
      <cdr:y>0.18768</cdr:y>
    </cdr:to>
    <cdr:sp macro="" textlink="">
      <cdr:nvSpPr>
        <cdr:cNvPr id="4" name="TextBox 3">
          <a:extLst xmlns:a="http://purl.oclc.org/ooxml/drawingml/main">
            <a:ext uri="{FF2B5EF4-FFF2-40B4-BE49-F238E27FC236}">
              <a16:creationId xmlns:a16="http://schemas.microsoft.com/office/drawing/2014/main" id="{027E0921-85D8-A1E2-FD84-B0275E057815}"/>
            </a:ext>
          </a:extLst>
        </cdr:cNvPr>
        <cdr:cNvSpPr txBox="1"/>
      </cdr:nvSpPr>
      <cdr:spPr>
        <a:xfrm xmlns:a="http://purl.oclc.org/ooxml/drawingml/main">
          <a:off x="1193800" y="215900"/>
          <a:ext cx="4102100" cy="635000"/>
        </a:xfrm>
        <a:prstGeom xmlns:a="http://purl.oclc.org/ooxml/drawingml/main" prst="rect">
          <a:avLst/>
        </a:prstGeom>
        <a:noFill xmlns:a="http://purl.oclc.org/ooxml/drawingml/main"/>
      </cdr:spPr>
      <cdr:txBody>
        <a:bodyPr xmlns:a="http://purl.oclc.org/ooxml/drawingml/main" vertOverflow="clip" wrap="square" rtlCol="0"/>
        <a:lstStyle xmlns:a="http://purl.oclc.org/ooxml/drawingml/main"/>
        <a:p xmlns:a="http://purl.oclc.org/ooxml/drawingml/main">
          <a:pPr algn="ctr"/>
          <a:r>
            <a:rPr lang="en-GB" sz="1800" kern="1200">
              <a:solidFill>
                <a:schemeClr val="tx1"/>
              </a:solidFill>
            </a:rPr>
            <a:t>Total Sales by Month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Ethan Moore" refreshedDateIso="2025-07-01T12:17:35.07000018842518575" createdVersion="8" refreshedVersion="8" minRefreshableVersion="3" recordCount="1000" xr:uid="{83FF0A30-9B97-7F4F-88E5-B06802BB60AF}">
  <cacheSource type="worksheet">
    <worksheetSource name="Sales_Data"/>
  </cacheSource>
  <cacheFields count="12">
    <cacheField name="Order_ID" numFmtId="0">
      <sharedItems/>
    </cacheField>
    <cacheField name="Order_Date" numFmtId="14">
      <sharedItems containsSemiMixedTypes="0" containsNonDate="0" containsDate="1" containsString="0" minDate="2024-06-30T00:00:00" maxDate="2025-07-01T00:00:00"/>
    </cacheField>
    <cacheField name="Month" numFmtId="14">
      <sharedItems count="13">
        <s v="May 2025"/>
        <s v="April 2025"/>
        <s v="February 2025"/>
        <s v="January 2025"/>
        <s v="March 2025"/>
        <s v="December 2024"/>
        <s v="June 2025"/>
        <s v="September 2024"/>
        <s v="November 2024"/>
        <s v="October 2024"/>
        <s v="July 2024"/>
        <s v="August 2024"/>
        <s v="June 2024"/>
      </sharedItems>
    </cacheField>
    <cacheField name="Customer_ID" numFmtId="0">
      <sharedItems/>
    </cacheField>
    <cacheField name="Product_ID" numFmtId="0">
      <sharedItems count="30">
        <s v="P0015"/>
        <s v="P0007"/>
        <s v="P0014"/>
        <s v="P0004"/>
        <s v="P0003"/>
        <s v="P0001"/>
        <s v="P0006"/>
        <s v="P0017"/>
        <s v="P0021"/>
        <s v="P0012"/>
        <s v="P0025"/>
        <s v="P0018"/>
        <s v="P0023"/>
        <s v="P0002"/>
        <s v="P0028"/>
        <s v="P0009"/>
        <s v="P0020"/>
        <s v="P0010"/>
        <s v="P0024"/>
        <s v="P0022"/>
        <s v="P0008"/>
        <s v="P0016"/>
        <s v="P0026"/>
        <s v="P0027"/>
        <s v="P0029"/>
        <s v="P0030"/>
        <s v="P0019"/>
        <s v="P0011"/>
        <s v="P0013"/>
        <s v="P0005"/>
      </sharedItems>
    </cacheField>
    <cacheField name="Campaign_ID" numFmtId="0">
      <sharedItems/>
    </cacheField>
    <cacheField name="Campaign_Flag" numFmtId="0">
      <sharedItems count="2">
        <s v="Campaign"/>
        <s v="Non-Campaign"/>
      </sharedItems>
    </cacheField>
    <cacheField name="Units_Sold" numFmtId="0">
      <sharedItems containsSemiMixedTypes="0" containsString="0" containsNumber="1" containsInteger="1" minValue="1" maxValue="5"/>
    </cacheField>
    <cacheField name="Discount" numFmtId="9">
      <sharedItems containsSemiMixedTypes="0" containsString="0" containsNumber="1" minValue="0" maxValue="0.3"/>
    </cacheField>
    <cacheField name="Total_Sales" numFmtId="0">
      <sharedItems containsSemiMixedTypes="0" containsString="0" containsNumber="1" minValue="41.42" maxValue="2474.85"/>
    </cacheField>
    <cacheField name="Profit" numFmtId="164">
      <sharedItems containsSemiMixedTypes="0" containsString="0" containsNumber="1" minValue="-100.02" maxValue="1181.26"/>
    </cacheField>
    <cacheField name="Profit_Margin" numFmtId="168">
      <sharedItems containsSemiMixedTypes="0" containsString="0" containsNumber="1" minValue="-0.14140723001482497" maxValue="0.595401343583350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1000">
  <r>
    <s v="O00000"/>
    <d v="2025-05-25T00:00:00"/>
    <x v="0"/>
    <s v="C0241"/>
    <x v="0"/>
    <s v="CA001"/>
    <x v="0"/>
    <n v="1"/>
    <n v="0"/>
    <n v="202.46"/>
    <n v="84.76"/>
    <n v="0.41865059764891832"/>
  </r>
  <r>
    <s v="O00001"/>
    <d v="2025-04-18T00:00:00"/>
    <x v="1"/>
    <s v="C0132"/>
    <x v="1"/>
    <s v="CA003"/>
    <x v="0"/>
    <n v="5"/>
    <n v="0.3"/>
    <n v="1423.76"/>
    <n v="42.21"/>
    <n v="2.964685059279654E-2"/>
  </r>
  <r>
    <s v="O00002"/>
    <d v="2025-02-26T00:00:00"/>
    <x v="2"/>
    <s v="C0271"/>
    <x v="2"/>
    <s v="CA002"/>
    <x v="0"/>
    <n v="3"/>
    <n v="0.05"/>
    <n v="452.89"/>
    <n v="246.97"/>
    <n v="0.54532005564265051"/>
  </r>
  <r>
    <s v="O00003"/>
    <d v="2025-01-29T00:00:00"/>
    <x v="3"/>
    <s v="C0155"/>
    <x v="3"/>
    <s v="CA001"/>
    <x v="0"/>
    <n v="2"/>
    <n v="0.15"/>
    <n v="446.37"/>
    <n v="230.73"/>
    <n v="0.51690301767591906"/>
  </r>
  <r>
    <s v="O00004"/>
    <d v="2025-05-26T00:00:00"/>
    <x v="0"/>
    <s v="C0235"/>
    <x v="4"/>
    <s v="CA002"/>
    <x v="0"/>
    <n v="4"/>
    <n v="0.2"/>
    <n v="712.06"/>
    <n v="345.42"/>
    <n v="0.48509957026093314"/>
  </r>
  <r>
    <s v="O00005"/>
    <d v="2025-02-23T00:00:00"/>
    <x v="2"/>
    <s v="C0275"/>
    <x v="5"/>
    <s v="CA004"/>
    <x v="0"/>
    <n v="2"/>
    <n v="0.1"/>
    <n v="676.69"/>
    <n v="302.29000000000002"/>
    <n v="0.44671858605860881"/>
  </r>
  <r>
    <s v="O00006"/>
    <d v="2025-03-31T00:00:00"/>
    <x v="4"/>
    <s v="C0220"/>
    <x v="5"/>
    <s v="No Campaign"/>
    <x v="1"/>
    <n v="2"/>
    <n v="0.2"/>
    <n v="601.5"/>
    <n v="227.1"/>
    <n v="0.37755610972568576"/>
  </r>
  <r>
    <s v="O00007"/>
    <d v="2025-01-06T00:00:00"/>
    <x v="3"/>
    <s v="C0214"/>
    <x v="6"/>
    <s v="CA002"/>
    <x v="0"/>
    <n v="5"/>
    <n v="0.1"/>
    <n v="1362.82"/>
    <n v="266.87"/>
    <n v="0.19582189871002775"/>
  </r>
  <r>
    <s v="O00008"/>
    <d v="2024-12-08T00:00:00"/>
    <x v="5"/>
    <s v="C0035"/>
    <x v="7"/>
    <s v="CA001"/>
    <x v="0"/>
    <n v="4"/>
    <n v="0.15"/>
    <n v="1596.61"/>
    <n v="358.37"/>
    <n v="0.22445681788288938"/>
  </r>
  <r>
    <s v="O00009"/>
    <d v="2024-12-06T00:00:00"/>
    <x v="5"/>
    <s v="C0023"/>
    <x v="8"/>
    <s v="No Campaign"/>
    <x v="1"/>
    <n v="3"/>
    <n v="0.1"/>
    <n v="1119.07"/>
    <n v="221.32"/>
    <n v="0.19777136372166174"/>
  </r>
  <r>
    <s v="O00010"/>
    <d v="2025-06-03T00:00:00"/>
    <x v="6"/>
    <s v="C0009"/>
    <x v="9"/>
    <s v="CA002"/>
    <x v="0"/>
    <n v="3"/>
    <n v="0.05"/>
    <n v="458.08"/>
    <n v="143.94999999999999"/>
    <n v="0.31424641983932938"/>
  </r>
  <r>
    <s v="O00011"/>
    <d v="2025-06-08T00:00:00"/>
    <x v="6"/>
    <s v="C0054"/>
    <x v="10"/>
    <s v="No Campaign"/>
    <x v="1"/>
    <n v="2"/>
    <n v="0"/>
    <n v="601.20000000000005"/>
    <n v="144.82"/>
    <n v="0.24088489687292081"/>
  </r>
  <r>
    <s v="O00012"/>
    <d v="2025-01-20T00:00:00"/>
    <x v="3"/>
    <s v="C0181"/>
    <x v="11"/>
    <s v="No Campaign"/>
    <x v="1"/>
    <n v="2"/>
    <n v="0.3"/>
    <n v="517.97"/>
    <n v="173.63"/>
    <n v="0.33521246404231902"/>
  </r>
  <r>
    <s v="O00013"/>
    <d v="2025-04-19T00:00:00"/>
    <x v="1"/>
    <s v="C0238"/>
    <x v="12"/>
    <s v="No Campaign"/>
    <x v="1"/>
    <n v="2"/>
    <n v="0.05"/>
    <n v="635.76"/>
    <n v="262.16000000000003"/>
    <n v="0.41235686422549395"/>
  </r>
  <r>
    <s v="O00014"/>
    <d v="2024-09-28T00:00:00"/>
    <x v="7"/>
    <s v="C0033"/>
    <x v="12"/>
    <s v="No Campaign"/>
    <x v="1"/>
    <n v="1"/>
    <n v="0.1"/>
    <n v="301.14999999999998"/>
    <n v="114.35"/>
    <n v="0.37971110742155073"/>
  </r>
  <r>
    <s v="O00015"/>
    <d v="2024-12-10T00:00:00"/>
    <x v="5"/>
    <s v="C0104"/>
    <x v="13"/>
    <s v="CA004"/>
    <x v="0"/>
    <n v="1"/>
    <n v="0.1"/>
    <n v="62.28"/>
    <n v="14.1"/>
    <n v="0.22639691714836221"/>
  </r>
  <r>
    <s v="O00016"/>
    <d v="2025-02-21T00:00:00"/>
    <x v="2"/>
    <s v="C0159"/>
    <x v="7"/>
    <s v="No Campaign"/>
    <x v="1"/>
    <n v="5"/>
    <n v="0.15"/>
    <n v="1995.76"/>
    <n v="447.96"/>
    <n v="0.22445584639435603"/>
  </r>
  <r>
    <s v="O00017"/>
    <d v="2024-11-21T00:00:00"/>
    <x v="8"/>
    <s v="C0130"/>
    <x v="13"/>
    <s v="CA004"/>
    <x v="0"/>
    <n v="3"/>
    <n v="0.1"/>
    <n v="186.84"/>
    <n v="42.3"/>
    <n v="0.22639691714836221"/>
  </r>
  <r>
    <s v="O00018"/>
    <d v="2025-06-23T00:00:00"/>
    <x v="6"/>
    <s v="C0025"/>
    <x v="14"/>
    <s v="No Campaign"/>
    <x v="1"/>
    <n v="3"/>
    <n v="0"/>
    <n v="290.37"/>
    <n v="95.19"/>
    <n v="0.32782312222337018"/>
  </r>
  <r>
    <s v="O00019"/>
    <d v="2024-11-09T00:00:00"/>
    <x v="8"/>
    <s v="C0189"/>
    <x v="2"/>
    <s v="No Campaign"/>
    <x v="1"/>
    <n v="4"/>
    <n v="0.15"/>
    <n v="540.29"/>
    <n v="265.73"/>
    <n v="0.49182846249236528"/>
  </r>
  <r>
    <s v="O00020"/>
    <d v="2024-09-15T00:00:00"/>
    <x v="7"/>
    <s v="C0174"/>
    <x v="6"/>
    <s v="No Campaign"/>
    <x v="1"/>
    <n v="4"/>
    <n v="0.1"/>
    <n v="1090.26"/>
    <n v="213.5"/>
    <n v="0.19582484911855888"/>
  </r>
  <r>
    <s v="O00021"/>
    <d v="2025-06-23T00:00:00"/>
    <x v="6"/>
    <s v="C0266"/>
    <x v="15"/>
    <s v="CA002"/>
    <x v="0"/>
    <n v="4"/>
    <n v="0"/>
    <n v="258.08"/>
    <n v="144.88"/>
    <n v="0.56137631742095473"/>
  </r>
  <r>
    <s v="O00022"/>
    <d v="2024-10-11T00:00:00"/>
    <x v="9"/>
    <s v="C0221"/>
    <x v="16"/>
    <s v="CA003"/>
    <x v="0"/>
    <n v="5"/>
    <n v="0.1"/>
    <n v="790.47"/>
    <n v="169.22"/>
    <n v="0.21407517046820246"/>
  </r>
  <r>
    <s v="O00023"/>
    <d v="2025-06-27T00:00:00"/>
    <x v="6"/>
    <s v="C0165"/>
    <x v="3"/>
    <s v="CA002"/>
    <x v="0"/>
    <n v="3"/>
    <n v="0.3"/>
    <n v="551.4"/>
    <n v="227.94"/>
    <n v="0.41338411316648532"/>
  </r>
  <r>
    <s v="O00024"/>
    <d v="2025-03-14T00:00:00"/>
    <x v="4"/>
    <s v="C0152"/>
    <x v="17"/>
    <s v="No Campaign"/>
    <x v="1"/>
    <n v="5"/>
    <n v="0.3"/>
    <n v="514.4"/>
    <n v="207.7"/>
    <n v="0.40377138413685848"/>
  </r>
  <r>
    <s v="O00025"/>
    <d v="2024-10-29T00:00:00"/>
    <x v="9"/>
    <s v="C0219"/>
    <x v="6"/>
    <s v="No Campaign"/>
    <x v="1"/>
    <n v="3"/>
    <n v="0.15"/>
    <n v="772.27"/>
    <n v="114.7"/>
    <n v="0.14852318489647404"/>
  </r>
  <r>
    <s v="O00026"/>
    <d v="2024-10-14T00:00:00"/>
    <x v="9"/>
    <s v="C0022"/>
    <x v="18"/>
    <s v="No Campaign"/>
    <x v="1"/>
    <n v="5"/>
    <n v="0.15"/>
    <n v="625.34"/>
    <n v="258.49"/>
    <n v="0.41335913263184826"/>
  </r>
  <r>
    <s v="O00027"/>
    <d v="2024-12-13T00:00:00"/>
    <x v="5"/>
    <s v="C0141"/>
    <x v="8"/>
    <s v="CA001"/>
    <x v="0"/>
    <n v="1"/>
    <n v="0.3"/>
    <n v="290.13"/>
    <n v="-9.1199999999999992"/>
    <n v="-3.1434184675834968E-2"/>
  </r>
  <r>
    <s v="O00028"/>
    <d v="2024-12-21T00:00:00"/>
    <x v="5"/>
    <s v="C0208"/>
    <x v="9"/>
    <s v="CA003"/>
    <x v="0"/>
    <n v="1"/>
    <n v="0.05"/>
    <n v="152.69"/>
    <n v="47.98"/>
    <n v="0.31423144934180364"/>
  </r>
  <r>
    <s v="O00029"/>
    <d v="2024-10-05T00:00:00"/>
    <x v="9"/>
    <s v="C0225"/>
    <x v="13"/>
    <s v="CA003"/>
    <x v="0"/>
    <n v="1"/>
    <n v="0.05"/>
    <n v="65.739999999999995"/>
    <n v="17.559999999999999"/>
    <n v="0.26711286887739583"/>
  </r>
  <r>
    <s v="O00030"/>
    <d v="2025-02-24T00:00:00"/>
    <x v="2"/>
    <s v="C0188"/>
    <x v="9"/>
    <s v="No Campaign"/>
    <x v="1"/>
    <n v="5"/>
    <n v="0"/>
    <n v="803.65"/>
    <n v="280.10000000000002"/>
    <n v="0.34853480992969582"/>
  </r>
  <r>
    <s v="O00031"/>
    <d v="2024-12-16T00:00:00"/>
    <x v="5"/>
    <s v="C0079"/>
    <x v="19"/>
    <s v="No Campaign"/>
    <x v="1"/>
    <n v="3"/>
    <n v="0.1"/>
    <n v="139.78"/>
    <n v="20.92"/>
    <n v="0.14966375733295179"/>
  </r>
  <r>
    <s v="O00032"/>
    <d v="2025-05-21T00:00:00"/>
    <x v="0"/>
    <s v="C0228"/>
    <x v="10"/>
    <s v="CA002"/>
    <x v="0"/>
    <n v="5"/>
    <n v="0.05"/>
    <n v="1427.85"/>
    <n v="286.89999999999998"/>
    <n v="0.20093147039254824"/>
  </r>
  <r>
    <s v="O00033"/>
    <d v="2024-11-18T00:00:00"/>
    <x v="8"/>
    <s v="C0272"/>
    <x v="9"/>
    <s v="No Campaign"/>
    <x v="1"/>
    <n v="3"/>
    <n v="0.3"/>
    <n v="337.53"/>
    <n v="23.4"/>
    <n v="6.9327170918140613E-2"/>
  </r>
  <r>
    <s v="O00034"/>
    <d v="2025-01-13T00:00:00"/>
    <x v="3"/>
    <s v="C0143"/>
    <x v="20"/>
    <s v="CA002"/>
    <x v="0"/>
    <n v="1"/>
    <n v="0.3"/>
    <n v="66.239999999999995"/>
    <n v="-7.84"/>
    <n v="-0.11835748792270533"/>
  </r>
  <r>
    <s v="O00035"/>
    <d v="2024-07-03T00:00:00"/>
    <x v="10"/>
    <s v="C0096"/>
    <x v="21"/>
    <s v="No Campaign"/>
    <x v="1"/>
    <n v="5"/>
    <n v="0"/>
    <n v="988.45"/>
    <n v="510.25"/>
    <n v="0.51621225150488137"/>
  </r>
  <r>
    <s v="O00036"/>
    <d v="2024-09-20T00:00:00"/>
    <x v="7"/>
    <s v="C0135"/>
    <x v="10"/>
    <s v="CA005"/>
    <x v="0"/>
    <n v="4"/>
    <n v="0.05"/>
    <n v="1142.28"/>
    <n v="229.52"/>
    <n v="0.20093147039254824"/>
  </r>
  <r>
    <s v="O00037"/>
    <d v="2024-10-31T00:00:00"/>
    <x v="9"/>
    <s v="C0147"/>
    <x v="12"/>
    <s v="No Campaign"/>
    <x v="1"/>
    <n v="2"/>
    <n v="0"/>
    <n v="669.22"/>
    <n v="295.62"/>
    <n v="0.44173814291264457"/>
  </r>
  <r>
    <s v="O00038"/>
    <d v="2024-07-10T00:00:00"/>
    <x v="10"/>
    <s v="C0070"/>
    <x v="14"/>
    <s v="CA002"/>
    <x v="0"/>
    <n v="4"/>
    <n v="0.05"/>
    <n v="367.8"/>
    <n v="107.56"/>
    <n v="0.29244154431756392"/>
  </r>
  <r>
    <s v="O00039"/>
    <d v="2025-05-13T00:00:00"/>
    <x v="0"/>
    <s v="C0228"/>
    <x v="4"/>
    <s v="No Campaign"/>
    <x v="1"/>
    <n v="3"/>
    <n v="0.3"/>
    <n v="467.29"/>
    <n v="192.31"/>
    <n v="0.41154315307410816"/>
  </r>
  <r>
    <s v="O00040"/>
    <d v="2025-06-15T00:00:00"/>
    <x v="6"/>
    <s v="C0034"/>
    <x v="11"/>
    <s v="CA005"/>
    <x v="0"/>
    <n v="3"/>
    <n v="0.05"/>
    <n v="1054.44"/>
    <n v="537.92999999999995"/>
    <n v="0.51015705018777735"/>
  </r>
  <r>
    <s v="O00041"/>
    <d v="2024-09-12T00:00:00"/>
    <x v="7"/>
    <s v="C0090"/>
    <x v="22"/>
    <s v="No Campaign"/>
    <x v="1"/>
    <n v="5"/>
    <n v="0.05"/>
    <n v="595.03"/>
    <n v="94.58"/>
    <n v="0.15894996890913063"/>
  </r>
  <r>
    <s v="O00042"/>
    <d v="2024-09-18T00:00:00"/>
    <x v="7"/>
    <s v="C0063"/>
    <x v="1"/>
    <s v="CA003"/>
    <x v="0"/>
    <n v="2"/>
    <n v="0.15"/>
    <n v="691.54"/>
    <n v="138.91999999999999"/>
    <n v="0.20088498134598143"/>
  </r>
  <r>
    <s v="O00043"/>
    <d v="2024-11-02T00:00:00"/>
    <x v="8"/>
    <s v="C0014"/>
    <x v="9"/>
    <s v="No Campaign"/>
    <x v="1"/>
    <n v="4"/>
    <n v="0.2"/>
    <n v="514.34"/>
    <n v="95.5"/>
    <n v="0.18567484543298207"/>
  </r>
  <r>
    <s v="O00044"/>
    <d v="2025-02-05T00:00:00"/>
    <x v="2"/>
    <s v="C0067"/>
    <x v="16"/>
    <s v="CA002"/>
    <x v="0"/>
    <n v="1"/>
    <n v="0.1"/>
    <n v="158.09"/>
    <n v="33.840000000000003"/>
    <n v="0.21405528496426088"/>
  </r>
  <r>
    <s v="O00045"/>
    <d v="2024-12-07T00:00:00"/>
    <x v="5"/>
    <s v="C0204"/>
    <x v="12"/>
    <s v="No Campaign"/>
    <x v="1"/>
    <n v="5"/>
    <n v="0.15"/>
    <n v="1422.09"/>
    <n v="488.09"/>
    <n v="0.34322019000203924"/>
  </r>
  <r>
    <s v="O00046"/>
    <d v="2025-06-26T00:00:00"/>
    <x v="6"/>
    <s v="C0210"/>
    <x v="23"/>
    <s v="CA002"/>
    <x v="0"/>
    <n v="2"/>
    <n v="0.1"/>
    <n v="689"/>
    <n v="119.08"/>
    <n v="0.17283018867924527"/>
  </r>
  <r>
    <s v="O00047"/>
    <d v="2025-05-22T00:00:00"/>
    <x v="0"/>
    <s v="C0038"/>
    <x v="0"/>
    <s v="No Campaign"/>
    <x v="1"/>
    <n v="5"/>
    <n v="0.1"/>
    <n v="911.07"/>
    <n v="322.57"/>
    <n v="0.35405621960990918"/>
  </r>
  <r>
    <s v="O00048"/>
    <d v="2024-08-22T00:00:00"/>
    <x v="11"/>
    <s v="C0066"/>
    <x v="24"/>
    <s v="CA003"/>
    <x v="0"/>
    <n v="2"/>
    <n v="0.15"/>
    <n v="345.41"/>
    <n v="20.95"/>
    <n v="6.0652557829825419E-2"/>
  </r>
  <r>
    <s v="O00049"/>
    <d v="2025-01-25T00:00:00"/>
    <x v="3"/>
    <s v="C0258"/>
    <x v="25"/>
    <s v="CA001"/>
    <x v="0"/>
    <n v="1"/>
    <n v="0.2"/>
    <n v="346.54"/>
    <n v="171.28"/>
    <n v="0.49425751716973509"/>
  </r>
  <r>
    <s v="O00050"/>
    <d v="2024-11-03T00:00:00"/>
    <x v="8"/>
    <s v="C0079"/>
    <x v="17"/>
    <s v="CA003"/>
    <x v="0"/>
    <n v="2"/>
    <n v="0.1"/>
    <n v="264.55"/>
    <n v="141.87"/>
    <n v="0.5362691362691363"/>
  </r>
  <r>
    <s v="O00051"/>
    <d v="2024-08-11T00:00:00"/>
    <x v="11"/>
    <s v="C0116"/>
    <x v="9"/>
    <s v="CA005"/>
    <x v="0"/>
    <n v="1"/>
    <n v="0.1"/>
    <n v="144.66"/>
    <n v="39.950000000000003"/>
    <n v="0.27616480022120837"/>
  </r>
  <r>
    <s v="O00052"/>
    <d v="2024-07-30T00:00:00"/>
    <x v="10"/>
    <s v="C0101"/>
    <x v="8"/>
    <s v="CA005"/>
    <x v="0"/>
    <n v="2"/>
    <n v="0.3"/>
    <n v="580.26"/>
    <n v="-18.239999999999998"/>
    <n v="-3.1434184675834968E-2"/>
  </r>
  <r>
    <s v="O00053"/>
    <d v="2025-06-01T00:00:00"/>
    <x v="6"/>
    <s v="C0156"/>
    <x v="16"/>
    <s v="CA002"/>
    <x v="0"/>
    <n v="5"/>
    <n v="0.3"/>
    <n v="614.80999999999995"/>
    <n v="-6.44"/>
    <n v="-1.0474780826596836E-2"/>
  </r>
  <r>
    <s v="O00054"/>
    <d v="2024-10-10T00:00:00"/>
    <x v="9"/>
    <s v="C0087"/>
    <x v="26"/>
    <s v="CA003"/>
    <x v="0"/>
    <n v="2"/>
    <n v="0.3"/>
    <n v="692.96"/>
    <n v="43.56"/>
    <n v="6.2860771184483952E-2"/>
  </r>
  <r>
    <s v="O00055"/>
    <d v="2025-05-30T00:00:00"/>
    <x v="0"/>
    <s v="C0173"/>
    <x v="23"/>
    <s v="CA001"/>
    <x v="0"/>
    <n v="1"/>
    <n v="0"/>
    <n v="382.78"/>
    <n v="97.82"/>
    <n v="0.25555149171848057"/>
  </r>
  <r>
    <s v="O00056"/>
    <d v="2025-04-20T00:00:00"/>
    <x v="1"/>
    <s v="C0024"/>
    <x v="8"/>
    <s v="CA005"/>
    <x v="0"/>
    <n v="2"/>
    <n v="0.2"/>
    <n v="663.15"/>
    <n v="64.650000000000006"/>
    <n v="9.7489255824474111E-2"/>
  </r>
  <r>
    <s v="O00057"/>
    <d v="2025-06-05T00:00:00"/>
    <x v="6"/>
    <s v="C0214"/>
    <x v="16"/>
    <s v="CA001"/>
    <x v="0"/>
    <n v="4"/>
    <n v="0.3"/>
    <n v="491.85"/>
    <n v="-5.15"/>
    <n v="-1.0470671952831148E-2"/>
  </r>
  <r>
    <s v="O00058"/>
    <d v="2024-09-24T00:00:00"/>
    <x v="7"/>
    <s v="C0280"/>
    <x v="17"/>
    <s v="CA005"/>
    <x v="0"/>
    <n v="4"/>
    <n v="0.05"/>
    <n v="558.49"/>
    <n v="313.13"/>
    <n v="0.56067252770864295"/>
  </r>
  <r>
    <s v="O00059"/>
    <d v="2025-03-03T00:00:00"/>
    <x v="4"/>
    <s v="C0208"/>
    <x v="17"/>
    <s v="No Campaign"/>
    <x v="1"/>
    <n v="1"/>
    <n v="0.3"/>
    <n v="102.88"/>
    <n v="41.54"/>
    <n v="0.40377138413685848"/>
  </r>
  <r>
    <s v="O00060"/>
    <d v="2025-05-22T00:00:00"/>
    <x v="0"/>
    <s v="C0031"/>
    <x v="6"/>
    <s v="No Campaign"/>
    <x v="1"/>
    <n v="4"/>
    <n v="0.15"/>
    <n v="1029.69"/>
    <n v="152.93"/>
    <n v="0.1485204284784741"/>
  </r>
  <r>
    <s v="O00061"/>
    <d v="2024-11-25T00:00:00"/>
    <x v="8"/>
    <s v="C0238"/>
    <x v="1"/>
    <s v="No Campaign"/>
    <x v="1"/>
    <n v="5"/>
    <n v="0.05"/>
    <n v="1932.25"/>
    <n v="550.70000000000005"/>
    <n v="0.28500452839953422"/>
  </r>
  <r>
    <s v="O00062"/>
    <d v="2025-01-17T00:00:00"/>
    <x v="3"/>
    <s v="C0161"/>
    <x v="14"/>
    <s v="No Campaign"/>
    <x v="1"/>
    <n v="3"/>
    <n v="0.15"/>
    <n v="246.81"/>
    <n v="51.63"/>
    <n v="0.20918925489242737"/>
  </r>
  <r>
    <s v="O00063"/>
    <d v="2024-10-22T00:00:00"/>
    <x v="9"/>
    <s v="C0067"/>
    <x v="10"/>
    <s v="No Campaign"/>
    <x v="1"/>
    <n v="5"/>
    <n v="0.2"/>
    <n v="1202.4000000000001"/>
    <n v="61.45"/>
    <n v="5.1106121091151029E-2"/>
  </r>
  <r>
    <s v="O00064"/>
    <d v="2025-01-04T00:00:00"/>
    <x v="3"/>
    <s v="C0055"/>
    <x v="27"/>
    <s v="CA004"/>
    <x v="0"/>
    <n v="4"/>
    <n v="0"/>
    <n v="319.68"/>
    <n v="73.88"/>
    <n v="0.23110610610610607"/>
  </r>
  <r>
    <s v="O00065"/>
    <d v="2024-07-29T00:00:00"/>
    <x v="10"/>
    <s v="C0137"/>
    <x v="0"/>
    <s v="CA004"/>
    <x v="0"/>
    <n v="2"/>
    <n v="0"/>
    <n v="404.92"/>
    <n v="169.52"/>
    <n v="0.41865059764891832"/>
  </r>
  <r>
    <s v="O00066"/>
    <d v="2024-07-01T00:00:00"/>
    <x v="10"/>
    <s v="C0026"/>
    <x v="17"/>
    <s v="No Campaign"/>
    <x v="1"/>
    <n v="5"/>
    <n v="0.15"/>
    <n v="624.62"/>
    <n v="317.92"/>
    <n v="0.50898146072812267"/>
  </r>
  <r>
    <s v="O00067"/>
    <d v="2024-07-23T00:00:00"/>
    <x v="10"/>
    <s v="C0128"/>
    <x v="14"/>
    <s v="CA003"/>
    <x v="0"/>
    <n v="3"/>
    <n v="0.2"/>
    <n v="232.3"/>
    <n v="37.119999999999997"/>
    <n v="0.15979337064141194"/>
  </r>
  <r>
    <s v="O00068"/>
    <d v="2024-07-14T00:00:00"/>
    <x v="10"/>
    <s v="C0161"/>
    <x v="1"/>
    <s v="CA003"/>
    <x v="0"/>
    <n v="4"/>
    <n v="0.2"/>
    <n v="1301.73"/>
    <n v="196.49"/>
    <n v="0.15094528051131956"/>
  </r>
  <r>
    <s v="O00069"/>
    <d v="2024-07-15T00:00:00"/>
    <x v="10"/>
    <s v="C0240"/>
    <x v="21"/>
    <s v="CA005"/>
    <x v="0"/>
    <n v="4"/>
    <n v="0"/>
    <n v="790.76"/>
    <n v="408.2"/>
    <n v="0.51621225150488137"/>
  </r>
  <r>
    <s v="O00070"/>
    <d v="2024-10-30T00:00:00"/>
    <x v="9"/>
    <s v="C0047"/>
    <x v="28"/>
    <s v="No Campaign"/>
    <x v="1"/>
    <n v="2"/>
    <n v="0.05"/>
    <n v="213.37"/>
    <n v="117.29"/>
    <n v="0.54970239490087647"/>
  </r>
  <r>
    <s v="O00071"/>
    <d v="2025-04-07T00:00:00"/>
    <x v="1"/>
    <s v="C0299"/>
    <x v="9"/>
    <s v="CA001"/>
    <x v="0"/>
    <n v="1"/>
    <n v="0.1"/>
    <n v="144.66"/>
    <n v="39.950000000000003"/>
    <n v="0.27616480022120837"/>
  </r>
  <r>
    <s v="O00072"/>
    <d v="2025-01-07T00:00:00"/>
    <x v="3"/>
    <s v="C0254"/>
    <x v="16"/>
    <s v="No Campaign"/>
    <x v="1"/>
    <n v="3"/>
    <n v="0.2"/>
    <n v="421.58"/>
    <n v="48.83"/>
    <n v="0.1158261777124152"/>
  </r>
  <r>
    <s v="O00073"/>
    <d v="2025-03-05T00:00:00"/>
    <x v="4"/>
    <s v="C0005"/>
    <x v="14"/>
    <s v="CA002"/>
    <x v="0"/>
    <n v="4"/>
    <n v="0.05"/>
    <n v="367.8"/>
    <n v="107.56"/>
    <n v="0.29244154431756392"/>
  </r>
  <r>
    <s v="O00074"/>
    <d v="2024-07-13T00:00:00"/>
    <x v="10"/>
    <s v="C0136"/>
    <x v="18"/>
    <s v="No Campaign"/>
    <x v="1"/>
    <n v="4"/>
    <n v="0.1"/>
    <n v="529.70000000000005"/>
    <n v="236.22"/>
    <n v="0.44595053804040019"/>
  </r>
  <r>
    <s v="O00075"/>
    <d v="2025-02-13T00:00:00"/>
    <x v="2"/>
    <s v="C0024"/>
    <x v="28"/>
    <s v="CA001"/>
    <x v="0"/>
    <n v="5"/>
    <n v="0.2"/>
    <n v="449.2"/>
    <n v="209"/>
    <n v="0.46527159394479073"/>
  </r>
  <r>
    <s v="O00076"/>
    <d v="2024-12-07T00:00:00"/>
    <x v="5"/>
    <s v="C0100"/>
    <x v="9"/>
    <s v="CA005"/>
    <x v="0"/>
    <n v="1"/>
    <n v="0.15"/>
    <n v="136.62"/>
    <n v="31.91"/>
    <n v="0.23356755965451617"/>
  </r>
  <r>
    <s v="O00077"/>
    <d v="2024-09-18T00:00:00"/>
    <x v="7"/>
    <s v="C0259"/>
    <x v="0"/>
    <s v="CA005"/>
    <x v="0"/>
    <n v="5"/>
    <n v="0.3"/>
    <n v="708.61"/>
    <n v="120.11"/>
    <n v="0.16950085378416901"/>
  </r>
  <r>
    <s v="O00078"/>
    <d v="2025-02-20T00:00:00"/>
    <x v="2"/>
    <s v="C0061"/>
    <x v="29"/>
    <s v="CA002"/>
    <x v="0"/>
    <n v="4"/>
    <n v="0.1"/>
    <n v="1194.98"/>
    <n v="374.46"/>
    <n v="0.31336089306934006"/>
  </r>
  <r>
    <s v="O00079"/>
    <d v="2025-04-07T00:00:00"/>
    <x v="1"/>
    <s v="C0174"/>
    <x v="11"/>
    <s v="No Campaign"/>
    <x v="1"/>
    <n v="2"/>
    <n v="0.05"/>
    <n v="702.96"/>
    <n v="358.62"/>
    <n v="0.51015705018777735"/>
  </r>
  <r>
    <s v="O00080"/>
    <d v="2024-09-25T00:00:00"/>
    <x v="7"/>
    <s v="C0261"/>
    <x v="28"/>
    <s v="CA001"/>
    <x v="0"/>
    <n v="1"/>
    <n v="0"/>
    <n v="112.3"/>
    <n v="64.260000000000005"/>
    <n v="0.57221727515583265"/>
  </r>
  <r>
    <s v="O00081"/>
    <d v="2024-10-29T00:00:00"/>
    <x v="9"/>
    <s v="C0071"/>
    <x v="12"/>
    <s v="No Campaign"/>
    <x v="1"/>
    <n v="4"/>
    <n v="0.2"/>
    <n v="1070.75"/>
    <n v="323.55"/>
    <n v="0.30217137520429604"/>
  </r>
  <r>
    <s v="O00082"/>
    <d v="2025-06-28T00:00:00"/>
    <x v="6"/>
    <s v="C0234"/>
    <x v="29"/>
    <s v="CA003"/>
    <x v="0"/>
    <n v="3"/>
    <n v="0.2"/>
    <n v="796.66"/>
    <n v="181.27"/>
    <n v="0.22753746893279445"/>
  </r>
  <r>
    <s v="O00083"/>
    <d v="2024-11-11T00:00:00"/>
    <x v="8"/>
    <s v="C0164"/>
    <x v="6"/>
    <s v="No Campaign"/>
    <x v="1"/>
    <n v="5"/>
    <n v="0.3"/>
    <n v="1059.97"/>
    <n v="-35.979999999999997"/>
    <n v="-3.394435691576176E-2"/>
  </r>
  <r>
    <s v="O00084"/>
    <d v="2024-11-04T00:00:00"/>
    <x v="8"/>
    <s v="C0154"/>
    <x v="26"/>
    <s v="No Campaign"/>
    <x v="1"/>
    <n v="5"/>
    <n v="0.2"/>
    <n v="1979.88"/>
    <n v="356.38"/>
    <n v="0.18000080812978564"/>
  </r>
  <r>
    <s v="O00085"/>
    <d v="2025-03-20T00:00:00"/>
    <x v="4"/>
    <s v="C0273"/>
    <x v="21"/>
    <s v="CA005"/>
    <x v="0"/>
    <n v="4"/>
    <n v="0"/>
    <n v="790.76"/>
    <n v="408.2"/>
    <n v="0.51621225150488137"/>
  </r>
  <r>
    <s v="O00086"/>
    <d v="2025-02-21T00:00:00"/>
    <x v="2"/>
    <s v="C0189"/>
    <x v="27"/>
    <s v="CA002"/>
    <x v="0"/>
    <n v="4"/>
    <n v="0.2"/>
    <n v="255.74"/>
    <n v="9.94"/>
    <n v="3.8867599906154682E-2"/>
  </r>
  <r>
    <s v="O00087"/>
    <d v="2025-06-15T00:00:00"/>
    <x v="6"/>
    <s v="C0158"/>
    <x v="22"/>
    <s v="CA001"/>
    <x v="0"/>
    <n v="5"/>
    <n v="0.15"/>
    <n v="532.4"/>
    <n v="31.95"/>
    <n v="6.0011269722013524E-2"/>
  </r>
  <r>
    <s v="O00088"/>
    <d v="2025-05-28T00:00:00"/>
    <x v="0"/>
    <s v="C0136"/>
    <x v="8"/>
    <s v="CA004"/>
    <x v="0"/>
    <n v="1"/>
    <n v="0.2"/>
    <n v="331.58"/>
    <n v="32.33"/>
    <n v="9.7502865070269618E-2"/>
  </r>
  <r>
    <s v="O00089"/>
    <d v="2024-08-10T00:00:00"/>
    <x v="11"/>
    <s v="C0246"/>
    <x v="6"/>
    <s v="No Campaign"/>
    <x v="1"/>
    <n v="2"/>
    <n v="0.3"/>
    <n v="423.99"/>
    <n v="-14.39"/>
    <n v="-3.3939479704710014E-2"/>
  </r>
  <r>
    <s v="O00090"/>
    <d v="2025-02-23T00:00:00"/>
    <x v="2"/>
    <s v="C0125"/>
    <x v="13"/>
    <s v="CA002"/>
    <x v="0"/>
    <n v="2"/>
    <n v="0"/>
    <n v="138.4"/>
    <n v="42.04"/>
    <n v="0.30375722543352601"/>
  </r>
  <r>
    <s v="O00091"/>
    <d v="2024-07-12T00:00:00"/>
    <x v="10"/>
    <s v="C0226"/>
    <x v="27"/>
    <s v="No Campaign"/>
    <x v="1"/>
    <n v="2"/>
    <n v="0.15"/>
    <n v="135.86000000000001"/>
    <n v="12.96"/>
    <n v="9.5392315619019577E-2"/>
  </r>
  <r>
    <s v="O00092"/>
    <d v="2025-01-06T00:00:00"/>
    <x v="3"/>
    <s v="C0105"/>
    <x v="2"/>
    <s v="No Campaign"/>
    <x v="1"/>
    <n v="1"/>
    <n v="0.3"/>
    <n v="111.24"/>
    <n v="42.6"/>
    <n v="0.38295577130528591"/>
  </r>
  <r>
    <s v="O00093"/>
    <d v="2025-03-22T00:00:00"/>
    <x v="4"/>
    <s v="C0071"/>
    <x v="7"/>
    <s v="CA004"/>
    <x v="0"/>
    <n v="5"/>
    <n v="0.1"/>
    <n v="2113.15"/>
    <n v="565.35"/>
    <n v="0.26753898208835153"/>
  </r>
  <r>
    <s v="O00094"/>
    <d v="2024-12-21T00:00:00"/>
    <x v="5"/>
    <s v="C0245"/>
    <x v="7"/>
    <s v="No Campaign"/>
    <x v="1"/>
    <n v="3"/>
    <n v="0.05"/>
    <n v="1338.33"/>
    <n v="409.65"/>
    <n v="0.30609042612808501"/>
  </r>
  <r>
    <s v="O00095"/>
    <d v="2024-08-29T00:00:00"/>
    <x v="11"/>
    <s v="C0236"/>
    <x v="25"/>
    <s v="No Campaign"/>
    <x v="1"/>
    <n v="5"/>
    <n v="0.1"/>
    <n v="1949.26"/>
    <n v="1072.96"/>
    <n v="0.55044478417450726"/>
  </r>
  <r>
    <s v="O00096"/>
    <d v="2025-06-07T00:00:00"/>
    <x v="6"/>
    <s v="C0136"/>
    <x v="16"/>
    <s v="No Campaign"/>
    <x v="1"/>
    <n v="2"/>
    <n v="0.05"/>
    <n v="333.75"/>
    <n v="85.25"/>
    <n v="0.25543071161048692"/>
  </r>
  <r>
    <s v="O00097"/>
    <d v="2024-08-23T00:00:00"/>
    <x v="11"/>
    <s v="C0143"/>
    <x v="11"/>
    <s v="CA005"/>
    <x v="0"/>
    <n v="2"/>
    <n v="0.1"/>
    <n v="665.96"/>
    <n v="321.62"/>
    <n v="0.48294191843353951"/>
  </r>
  <r>
    <s v="O00098"/>
    <d v="2024-10-24T00:00:00"/>
    <x v="9"/>
    <s v="C0148"/>
    <x v="12"/>
    <s v="CA004"/>
    <x v="0"/>
    <n v="4"/>
    <n v="0.1"/>
    <n v="1204.5999999999999"/>
    <n v="457.4"/>
    <n v="0.37971110742155073"/>
  </r>
  <r>
    <s v="O00099"/>
    <d v="2025-04-23T00:00:00"/>
    <x v="1"/>
    <s v="C0246"/>
    <x v="9"/>
    <s v="CA005"/>
    <x v="0"/>
    <n v="3"/>
    <n v="0"/>
    <n v="482.19"/>
    <n v="168.06"/>
    <n v="0.34853480992969577"/>
  </r>
  <r>
    <s v="O00100"/>
    <d v="2024-10-01T00:00:00"/>
    <x v="9"/>
    <s v="C0294"/>
    <x v="19"/>
    <s v="No Campaign"/>
    <x v="1"/>
    <n v="4"/>
    <n v="0.1"/>
    <n v="186.37"/>
    <n v="27.89"/>
    <n v="0.14964854858614585"/>
  </r>
  <r>
    <s v="O00101"/>
    <d v="2024-10-20T00:00:00"/>
    <x v="9"/>
    <s v="C0075"/>
    <x v="17"/>
    <s v="CA001"/>
    <x v="0"/>
    <n v="3"/>
    <n v="0.3"/>
    <n v="308.64"/>
    <n v="124.62"/>
    <n v="0.40377138413685854"/>
  </r>
  <r>
    <s v="O00102"/>
    <d v="2025-05-03T00:00:00"/>
    <x v="0"/>
    <s v="C0041"/>
    <x v="9"/>
    <s v="No Campaign"/>
    <x v="1"/>
    <n v="3"/>
    <n v="0.3"/>
    <n v="337.53"/>
    <n v="23.4"/>
    <n v="6.9327170918140613E-2"/>
  </r>
  <r>
    <s v="O00103"/>
    <d v="2025-06-08T00:00:00"/>
    <x v="6"/>
    <s v="C0246"/>
    <x v="1"/>
    <s v="CA004"/>
    <x v="0"/>
    <n v="5"/>
    <n v="0.1"/>
    <n v="1830.56"/>
    <n v="449.01"/>
    <n v="0.24528559566471461"/>
  </r>
  <r>
    <s v="O00104"/>
    <d v="2024-08-11T00:00:00"/>
    <x v="11"/>
    <s v="C0288"/>
    <x v="12"/>
    <s v="CA005"/>
    <x v="0"/>
    <n v="2"/>
    <n v="0"/>
    <n v="669.22"/>
    <n v="295.62"/>
    <n v="0.44173814291264457"/>
  </r>
  <r>
    <s v="O00105"/>
    <d v="2025-05-18T00:00:00"/>
    <x v="0"/>
    <s v="C0123"/>
    <x v="20"/>
    <s v="CA001"/>
    <x v="0"/>
    <n v="5"/>
    <n v="0.05"/>
    <n v="449.49"/>
    <n v="79.09"/>
    <n v="0.1759549711895704"/>
  </r>
  <r>
    <s v="O00106"/>
    <d v="2024-12-18T00:00:00"/>
    <x v="5"/>
    <s v="C0120"/>
    <x v="13"/>
    <s v="CA002"/>
    <x v="0"/>
    <n v="4"/>
    <n v="0.1"/>
    <n v="249.12"/>
    <n v="56.4"/>
    <n v="0.22639691714836221"/>
  </r>
  <r>
    <s v="O00107"/>
    <d v="2024-11-01T00:00:00"/>
    <x v="8"/>
    <s v="C0242"/>
    <x v="3"/>
    <s v="CA003"/>
    <x v="0"/>
    <n v="1"/>
    <n v="0.2"/>
    <n v="210.06"/>
    <n v="102.24"/>
    <n v="0.4867180805484147"/>
  </r>
  <r>
    <s v="O00108"/>
    <d v="2025-05-07T00:00:00"/>
    <x v="0"/>
    <s v="C0081"/>
    <x v="2"/>
    <s v="No Campaign"/>
    <x v="1"/>
    <n v="4"/>
    <n v="0.3"/>
    <n v="444.95"/>
    <n v="170.39"/>
    <n v="0.38294190358467239"/>
  </r>
  <r>
    <s v="O00109"/>
    <d v="2024-08-05T00:00:00"/>
    <x v="11"/>
    <s v="C0103"/>
    <x v="10"/>
    <s v="CA005"/>
    <x v="0"/>
    <n v="3"/>
    <n v="0.1"/>
    <n v="811.62"/>
    <n v="127.05"/>
    <n v="0.15653877430324536"/>
  </r>
  <r>
    <s v="O00110"/>
    <d v="2024-08-17T00:00:00"/>
    <x v="11"/>
    <s v="C0031"/>
    <x v="25"/>
    <s v="CA002"/>
    <x v="0"/>
    <n v="5"/>
    <n v="0.05"/>
    <n v="2057.56"/>
    <n v="1181.26"/>
    <n v="0.57410719492991702"/>
  </r>
  <r>
    <s v="O00111"/>
    <d v="2024-07-29T00:00:00"/>
    <x v="10"/>
    <s v="C0274"/>
    <x v="18"/>
    <s v="CA001"/>
    <x v="0"/>
    <n v="2"/>
    <n v="0.15"/>
    <n v="250.14"/>
    <n v="103.4"/>
    <n v="0.41336851363236593"/>
  </r>
  <r>
    <s v="O00112"/>
    <d v="2024-09-10T00:00:00"/>
    <x v="7"/>
    <s v="C0091"/>
    <x v="25"/>
    <s v="CA001"/>
    <x v="0"/>
    <n v="4"/>
    <n v="0.15"/>
    <n v="1472.78"/>
    <n v="771.74"/>
    <n v="0.52400222708075883"/>
  </r>
  <r>
    <s v="O00113"/>
    <d v="2024-09-10T00:00:00"/>
    <x v="7"/>
    <s v="C0096"/>
    <x v="25"/>
    <s v="CA005"/>
    <x v="0"/>
    <n v="1"/>
    <n v="0"/>
    <n v="433.17"/>
    <n v="257.91000000000003"/>
    <n v="0.59540134358335073"/>
  </r>
  <r>
    <s v="O00114"/>
    <d v="2024-08-27T00:00:00"/>
    <x v="11"/>
    <s v="C0153"/>
    <x v="26"/>
    <s v="CA002"/>
    <x v="0"/>
    <n v="3"/>
    <n v="0.1"/>
    <n v="1336.42"/>
    <n v="362.32"/>
    <n v="0.27111237485221712"/>
  </r>
  <r>
    <s v="O00115"/>
    <d v="2025-04-29T00:00:00"/>
    <x v="1"/>
    <s v="C0233"/>
    <x v="8"/>
    <s v="No Campaign"/>
    <x v="1"/>
    <n v="2"/>
    <n v="0.2"/>
    <n v="663.15"/>
    <n v="64.650000000000006"/>
    <n v="9.7489255824474111E-2"/>
  </r>
  <r>
    <s v="O00116"/>
    <d v="2025-06-22T00:00:00"/>
    <x v="6"/>
    <s v="C0240"/>
    <x v="15"/>
    <s v="CA004"/>
    <x v="0"/>
    <n v="1"/>
    <n v="0.1"/>
    <n v="58.07"/>
    <n v="29.77"/>
    <n v="0.51265713793697265"/>
  </r>
  <r>
    <s v="O00117"/>
    <d v="2024-07-22T00:00:00"/>
    <x v="10"/>
    <s v="C0084"/>
    <x v="18"/>
    <s v="No Campaign"/>
    <x v="1"/>
    <n v="3"/>
    <n v="0.3"/>
    <n v="308.99"/>
    <n v="88.88"/>
    <n v="0.28764684941260232"/>
  </r>
  <r>
    <s v="O00118"/>
    <d v="2025-05-19T00:00:00"/>
    <x v="0"/>
    <s v="C0096"/>
    <x v="5"/>
    <s v="No Campaign"/>
    <x v="1"/>
    <n v="3"/>
    <n v="0.2"/>
    <n v="902.26"/>
    <n v="340.66"/>
    <n v="0.3775630084454592"/>
  </r>
  <r>
    <s v="O00119"/>
    <d v="2024-07-22T00:00:00"/>
    <x v="10"/>
    <s v="C0099"/>
    <x v="6"/>
    <s v="No Campaign"/>
    <x v="1"/>
    <n v="4"/>
    <n v="0.2"/>
    <n v="969.12"/>
    <n v="92.36"/>
    <n v="9.530295525837873E-2"/>
  </r>
  <r>
    <s v="O00120"/>
    <d v="2025-01-02T00:00:00"/>
    <x v="3"/>
    <s v="C0168"/>
    <x v="4"/>
    <s v="No Campaign"/>
    <x v="1"/>
    <n v="1"/>
    <n v="0.05"/>
    <n v="211.39"/>
    <n v="119.73"/>
    <n v="0.56639386915180479"/>
  </r>
  <r>
    <s v="O00121"/>
    <d v="2025-01-18T00:00:00"/>
    <x v="3"/>
    <s v="C0072"/>
    <x v="21"/>
    <s v="No Campaign"/>
    <x v="1"/>
    <n v="2"/>
    <n v="0"/>
    <n v="395.38"/>
    <n v="204.1"/>
    <n v="0.51621225150488137"/>
  </r>
  <r>
    <s v="O00122"/>
    <d v="2025-02-17T00:00:00"/>
    <x v="2"/>
    <s v="C0134"/>
    <x v="28"/>
    <s v="CA004"/>
    <x v="0"/>
    <n v="4"/>
    <n v="0.1"/>
    <n v="404.28"/>
    <n v="212.12"/>
    <n v="0.52468586128425854"/>
  </r>
  <r>
    <s v="O00123"/>
    <d v="2024-08-29T00:00:00"/>
    <x v="11"/>
    <s v="C0169"/>
    <x v="17"/>
    <s v="CA001"/>
    <x v="0"/>
    <n v="3"/>
    <n v="0.3"/>
    <n v="308.64"/>
    <n v="124.62"/>
    <n v="0.40377138413685854"/>
  </r>
  <r>
    <s v="O00124"/>
    <d v="2024-11-06T00:00:00"/>
    <x v="8"/>
    <s v="C0185"/>
    <x v="12"/>
    <s v="CA004"/>
    <x v="0"/>
    <n v="1"/>
    <n v="0.3"/>
    <n v="234.23"/>
    <n v="47.43"/>
    <n v="0.20249327583998636"/>
  </r>
  <r>
    <s v="O00125"/>
    <d v="2024-09-24T00:00:00"/>
    <x v="7"/>
    <s v="C0061"/>
    <x v="0"/>
    <s v="CA005"/>
    <x v="0"/>
    <n v="2"/>
    <n v="0.15"/>
    <n v="344.18"/>
    <n v="108.78"/>
    <n v="0.31605555232727062"/>
  </r>
  <r>
    <s v="O00126"/>
    <d v="2024-10-08T00:00:00"/>
    <x v="9"/>
    <s v="C0258"/>
    <x v="25"/>
    <s v="CA005"/>
    <x v="0"/>
    <n v="1"/>
    <n v="0.3"/>
    <n v="303.22000000000003"/>
    <n v="127.96"/>
    <n v="0.42200382560517108"/>
  </r>
  <r>
    <s v="O00127"/>
    <d v="2025-05-15T00:00:00"/>
    <x v="0"/>
    <s v="C0152"/>
    <x v="9"/>
    <s v="CA004"/>
    <x v="0"/>
    <n v="2"/>
    <n v="0.05"/>
    <n v="305.39"/>
    <n v="95.97"/>
    <n v="0.31425390484298765"/>
  </r>
  <r>
    <s v="O00128"/>
    <d v="2024-12-22T00:00:00"/>
    <x v="5"/>
    <s v="C0245"/>
    <x v="29"/>
    <s v="No Campaign"/>
    <x v="1"/>
    <n v="5"/>
    <n v="0.1"/>
    <n v="1493.73"/>
    <n v="468.08"/>
    <n v="0.31336319147369335"/>
  </r>
  <r>
    <s v="O00129"/>
    <d v="2025-06-06T00:00:00"/>
    <x v="6"/>
    <s v="C0213"/>
    <x v="12"/>
    <s v="No Campaign"/>
    <x v="1"/>
    <n v="5"/>
    <n v="0.3"/>
    <n v="1171.1400000000001"/>
    <n v="237.14"/>
    <n v="0.20248646617825364"/>
  </r>
  <r>
    <s v="O00130"/>
    <d v="2024-08-25T00:00:00"/>
    <x v="11"/>
    <s v="C0112"/>
    <x v="10"/>
    <s v="CA004"/>
    <x v="0"/>
    <n v="5"/>
    <n v="0"/>
    <n v="1503"/>
    <n v="362.05"/>
    <n v="0.24088489687292083"/>
  </r>
  <r>
    <s v="O00131"/>
    <d v="2025-06-02T00:00:00"/>
    <x v="6"/>
    <s v="C0270"/>
    <x v="0"/>
    <s v="No Campaign"/>
    <x v="1"/>
    <n v="1"/>
    <n v="0.2"/>
    <n v="161.97"/>
    <n v="44.27"/>
    <n v="0.27332222016422797"/>
  </r>
  <r>
    <s v="O00132"/>
    <d v="2024-12-31T00:00:00"/>
    <x v="5"/>
    <s v="C0058"/>
    <x v="13"/>
    <s v="CA004"/>
    <x v="0"/>
    <n v="5"/>
    <n v="0.2"/>
    <n v="276.8"/>
    <n v="35.9"/>
    <n v="0.12969653179190752"/>
  </r>
  <r>
    <s v="O00133"/>
    <d v="2024-12-19T00:00:00"/>
    <x v="5"/>
    <s v="C0077"/>
    <x v="6"/>
    <s v="No Campaign"/>
    <x v="1"/>
    <n v="5"/>
    <n v="0.15"/>
    <n v="1287.1099999999999"/>
    <n v="191.16"/>
    <n v="0.14851877461910792"/>
  </r>
  <r>
    <s v="O00134"/>
    <d v="2024-10-09T00:00:00"/>
    <x v="9"/>
    <s v="C0060"/>
    <x v="19"/>
    <s v="CA004"/>
    <x v="0"/>
    <n v="5"/>
    <n v="0.15"/>
    <n v="220.02"/>
    <n v="21.92"/>
    <n v="9.9627306608490146E-2"/>
  </r>
  <r>
    <s v="O00135"/>
    <d v="2025-05-22T00:00:00"/>
    <x v="0"/>
    <s v="C0047"/>
    <x v="24"/>
    <s v="No Campaign"/>
    <x v="1"/>
    <n v="1"/>
    <n v="0.15"/>
    <n v="172.7"/>
    <n v="10.47"/>
    <n v="6.0625361899247256E-2"/>
  </r>
  <r>
    <s v="O00136"/>
    <d v="2025-01-05T00:00:00"/>
    <x v="3"/>
    <s v="C0068"/>
    <x v="7"/>
    <s v="No Campaign"/>
    <x v="1"/>
    <n v="4"/>
    <n v="0.2"/>
    <n v="1502.69"/>
    <n v="264.45"/>
    <n v="0.17598440130698945"/>
  </r>
  <r>
    <s v="O00137"/>
    <d v="2025-04-02T00:00:00"/>
    <x v="1"/>
    <s v="C0030"/>
    <x v="11"/>
    <s v="No Campaign"/>
    <x v="1"/>
    <n v="3"/>
    <n v="0.3"/>
    <n v="776.96"/>
    <n v="260.45"/>
    <n v="0.33521674217462927"/>
  </r>
  <r>
    <s v="O00138"/>
    <d v="2025-03-31T00:00:00"/>
    <x v="4"/>
    <s v="C0012"/>
    <x v="28"/>
    <s v="CA005"/>
    <x v="0"/>
    <n v="1"/>
    <n v="0.3"/>
    <n v="78.61"/>
    <n v="30.57"/>
    <n v="0.3888818216511894"/>
  </r>
  <r>
    <s v="O00139"/>
    <d v="2024-09-08T00:00:00"/>
    <x v="7"/>
    <s v="C0112"/>
    <x v="26"/>
    <s v="CA002"/>
    <x v="0"/>
    <n v="1"/>
    <n v="0.15"/>
    <n v="420.72"/>
    <n v="96.02"/>
    <n v="0.22822779996196993"/>
  </r>
  <r>
    <s v="O00140"/>
    <d v="2024-07-20T00:00:00"/>
    <x v="10"/>
    <s v="C0177"/>
    <x v="12"/>
    <s v="CA002"/>
    <x v="0"/>
    <n v="5"/>
    <n v="0"/>
    <n v="1673.05"/>
    <n v="739.05"/>
    <n v="0.44173814291264457"/>
  </r>
  <r>
    <s v="O00141"/>
    <d v="2024-10-02T00:00:00"/>
    <x v="9"/>
    <s v="C0036"/>
    <x v="25"/>
    <s v="No Campaign"/>
    <x v="1"/>
    <n v="1"/>
    <n v="0.1"/>
    <n v="389.85"/>
    <n v="214.59"/>
    <n v="0.55044247787610612"/>
  </r>
  <r>
    <s v="O00142"/>
    <d v="2025-01-22T00:00:00"/>
    <x v="3"/>
    <s v="C0210"/>
    <x v="6"/>
    <s v="CA003"/>
    <x v="0"/>
    <n v="4"/>
    <n v="0.1"/>
    <n v="1090.26"/>
    <n v="213.5"/>
    <n v="0.19582484911855888"/>
  </r>
  <r>
    <s v="O00143"/>
    <d v="2025-06-07T00:00:00"/>
    <x v="6"/>
    <s v="C0196"/>
    <x v="0"/>
    <s v="No Campaign"/>
    <x v="1"/>
    <n v="4"/>
    <n v="0"/>
    <n v="809.84"/>
    <n v="339.04"/>
    <n v="0.41865059764891832"/>
  </r>
  <r>
    <s v="O00144"/>
    <d v="2025-06-02T00:00:00"/>
    <x v="6"/>
    <s v="C0277"/>
    <x v="29"/>
    <s v="No Campaign"/>
    <x v="1"/>
    <n v="1"/>
    <n v="0.05"/>
    <n v="315.33999999999997"/>
    <n v="110.21"/>
    <n v="0.3494957823301833"/>
  </r>
  <r>
    <s v="O00145"/>
    <d v="2025-03-25T00:00:00"/>
    <x v="4"/>
    <s v="C0276"/>
    <x v="28"/>
    <s v="CA003"/>
    <x v="0"/>
    <n v="2"/>
    <n v="0"/>
    <n v="224.6"/>
    <n v="128.52000000000001"/>
    <n v="0.57221727515583265"/>
  </r>
  <r>
    <s v="O00146"/>
    <d v="2024-10-23T00:00:00"/>
    <x v="9"/>
    <s v="C0012"/>
    <x v="17"/>
    <s v="No Campaign"/>
    <x v="1"/>
    <n v="5"/>
    <n v="0.15"/>
    <n v="624.62"/>
    <n v="317.92"/>
    <n v="0.50898146072812267"/>
  </r>
  <r>
    <s v="O00147"/>
    <d v="2025-03-21T00:00:00"/>
    <x v="4"/>
    <s v="C0273"/>
    <x v="28"/>
    <s v="CA004"/>
    <x v="0"/>
    <n v="2"/>
    <n v="0.15"/>
    <n v="190.91"/>
    <n v="94.83"/>
    <n v="0.49672620606568541"/>
  </r>
  <r>
    <s v="O00148"/>
    <d v="2025-06-06T00:00:00"/>
    <x v="6"/>
    <s v="C0178"/>
    <x v="29"/>
    <s v="CA005"/>
    <x v="0"/>
    <n v="2"/>
    <n v="0.3"/>
    <n v="464.72"/>
    <n v="54.46"/>
    <n v="0.11718884489585125"/>
  </r>
  <r>
    <s v="O00149"/>
    <d v="2024-09-30T00:00:00"/>
    <x v="7"/>
    <s v="C0058"/>
    <x v="13"/>
    <s v="No Campaign"/>
    <x v="1"/>
    <n v="5"/>
    <n v="0"/>
    <n v="346"/>
    <n v="105.1"/>
    <n v="0.30375722543352601"/>
  </r>
  <r>
    <s v="O00150"/>
    <d v="2025-04-10T00:00:00"/>
    <x v="1"/>
    <s v="C0124"/>
    <x v="1"/>
    <s v="CA002"/>
    <x v="0"/>
    <n v="1"/>
    <n v="0.2"/>
    <n v="325.43"/>
    <n v="49.12"/>
    <n v="0.15093875795101863"/>
  </r>
  <r>
    <s v="O00151"/>
    <d v="2025-06-14T00:00:00"/>
    <x v="6"/>
    <s v="C0018"/>
    <x v="0"/>
    <s v="CA001"/>
    <x v="0"/>
    <n v="2"/>
    <n v="0.3"/>
    <n v="283.44"/>
    <n v="48.04"/>
    <n v="0.16948913350268136"/>
  </r>
  <r>
    <s v="O00152"/>
    <d v="2024-09-05T00:00:00"/>
    <x v="7"/>
    <s v="C0023"/>
    <x v="28"/>
    <s v="No Campaign"/>
    <x v="1"/>
    <n v="2"/>
    <n v="0.2"/>
    <n v="179.68"/>
    <n v="83.6"/>
    <n v="0.46527159394479067"/>
  </r>
  <r>
    <s v="O00153"/>
    <d v="2024-12-05T00:00:00"/>
    <x v="5"/>
    <s v="C0112"/>
    <x v="10"/>
    <s v="CA001"/>
    <x v="0"/>
    <n v="2"/>
    <n v="0.2"/>
    <n v="480.96"/>
    <n v="24.58"/>
    <n v="5.1106121091151029E-2"/>
  </r>
  <r>
    <s v="O00154"/>
    <d v="2025-06-03T00:00:00"/>
    <x v="6"/>
    <s v="C0149"/>
    <x v="20"/>
    <s v="No Campaign"/>
    <x v="1"/>
    <n v="5"/>
    <n v="0.2"/>
    <n v="378.52"/>
    <n v="8.1199999999999992"/>
    <n v="2.1451970833773645E-2"/>
  </r>
  <r>
    <s v="O00155"/>
    <d v="2024-10-18T00:00:00"/>
    <x v="9"/>
    <s v="C0165"/>
    <x v="20"/>
    <s v="CA005"/>
    <x v="0"/>
    <n v="2"/>
    <n v="0.3"/>
    <n v="132.47999999999999"/>
    <n v="-15.68"/>
    <n v="-0.11835748792270533"/>
  </r>
  <r>
    <s v="O00156"/>
    <d v="2025-03-22T00:00:00"/>
    <x v="4"/>
    <s v="C0267"/>
    <x v="20"/>
    <s v="No Campaign"/>
    <x v="1"/>
    <n v="3"/>
    <n v="0.1"/>
    <n v="255.5"/>
    <n v="33.26"/>
    <n v="0.13017612524461838"/>
  </r>
  <r>
    <s v="O00157"/>
    <d v="2025-02-06T00:00:00"/>
    <x v="2"/>
    <s v="C0032"/>
    <x v="11"/>
    <s v="CA003"/>
    <x v="0"/>
    <n v="4"/>
    <n v="0.2"/>
    <n v="1183.94"/>
    <n v="495.26"/>
    <n v="0.41831511732013443"/>
  </r>
  <r>
    <s v="O00158"/>
    <d v="2025-06-24T00:00:00"/>
    <x v="6"/>
    <s v="C0254"/>
    <x v="13"/>
    <s v="No Campaign"/>
    <x v="1"/>
    <n v="4"/>
    <n v="0.2"/>
    <n v="221.44"/>
    <n v="28.72"/>
    <n v="0.12969653179190752"/>
  </r>
  <r>
    <s v="O00159"/>
    <d v="2024-10-22T00:00:00"/>
    <x v="9"/>
    <s v="C0164"/>
    <x v="12"/>
    <s v="No Campaign"/>
    <x v="1"/>
    <n v="4"/>
    <n v="0.05"/>
    <n v="1271.52"/>
    <n v="524.32000000000005"/>
    <n v="0.41235686422549395"/>
  </r>
  <r>
    <s v="O00160"/>
    <d v="2024-08-31T00:00:00"/>
    <x v="11"/>
    <s v="C0154"/>
    <x v="28"/>
    <s v="CA003"/>
    <x v="0"/>
    <n v="5"/>
    <n v="0.15"/>
    <n v="477.28"/>
    <n v="237.08"/>
    <n v="0.49673147837747239"/>
  </r>
  <r>
    <s v="O00161"/>
    <d v="2024-09-12T00:00:00"/>
    <x v="7"/>
    <s v="C0124"/>
    <x v="14"/>
    <s v="CA004"/>
    <x v="0"/>
    <n v="3"/>
    <n v="0.3"/>
    <n v="203.26"/>
    <n v="8.08"/>
    <n v="3.9752041719964583E-2"/>
  </r>
  <r>
    <s v="O00162"/>
    <d v="2025-06-15T00:00:00"/>
    <x v="6"/>
    <s v="C0074"/>
    <x v="22"/>
    <s v="No Campaign"/>
    <x v="1"/>
    <n v="1"/>
    <n v="0.2"/>
    <n v="100.22"/>
    <n v="0.13"/>
    <n v="1.2971462781879864E-3"/>
  </r>
  <r>
    <s v="O00163"/>
    <d v="2024-11-07T00:00:00"/>
    <x v="8"/>
    <s v="C0212"/>
    <x v="2"/>
    <s v="CA003"/>
    <x v="0"/>
    <n v="4"/>
    <n v="0.05"/>
    <n v="603.86"/>
    <n v="329.3"/>
    <n v="0.54532507534859076"/>
  </r>
  <r>
    <s v="O00164"/>
    <d v="2025-01-25T00:00:00"/>
    <x v="3"/>
    <s v="C0131"/>
    <x v="1"/>
    <s v="No Campaign"/>
    <x v="1"/>
    <n v="1"/>
    <n v="0.15"/>
    <n v="345.77"/>
    <n v="69.459999999999994"/>
    <n v="0.20088498134598143"/>
  </r>
  <r>
    <s v="O00165"/>
    <d v="2025-06-25T00:00:00"/>
    <x v="6"/>
    <s v="C0190"/>
    <x v="4"/>
    <s v="CA004"/>
    <x v="0"/>
    <n v="1"/>
    <n v="0.1"/>
    <n v="200.27"/>
    <n v="108.61"/>
    <n v="0.5423178708743196"/>
  </r>
  <r>
    <s v="O00166"/>
    <d v="2024-09-09T00:00:00"/>
    <x v="7"/>
    <s v="C0194"/>
    <x v="19"/>
    <s v="CA001"/>
    <x v="0"/>
    <n v="1"/>
    <n v="0.05"/>
    <n v="49.18"/>
    <n v="9.56"/>
    <n v="0.19438796258641725"/>
  </r>
  <r>
    <s v="O00167"/>
    <d v="2024-10-08T00:00:00"/>
    <x v="9"/>
    <s v="C0287"/>
    <x v="1"/>
    <s v="No Campaign"/>
    <x v="1"/>
    <n v="2"/>
    <n v="0.1"/>
    <n v="732.22"/>
    <n v="179.6"/>
    <n v="0.24528147278140447"/>
  </r>
  <r>
    <s v="O00168"/>
    <d v="2025-03-08T00:00:00"/>
    <x v="4"/>
    <s v="C0156"/>
    <x v="25"/>
    <s v="CA001"/>
    <x v="0"/>
    <n v="2"/>
    <n v="0.05"/>
    <n v="823.02"/>
    <n v="472.5"/>
    <n v="0.57410512502733835"/>
  </r>
  <r>
    <s v="O00169"/>
    <d v="2024-10-03T00:00:00"/>
    <x v="9"/>
    <s v="C0061"/>
    <x v="18"/>
    <s v="No Campaign"/>
    <x v="1"/>
    <n v="2"/>
    <n v="0.3"/>
    <n v="206"/>
    <n v="59.26"/>
    <n v="0.28766990291262134"/>
  </r>
  <r>
    <s v="O00170"/>
    <d v="2025-05-08T00:00:00"/>
    <x v="0"/>
    <s v="C0105"/>
    <x v="28"/>
    <s v="CA004"/>
    <x v="0"/>
    <n v="5"/>
    <n v="0.1"/>
    <n v="505.35"/>
    <n v="265.14999999999998"/>
    <n v="0.52468586128425831"/>
  </r>
  <r>
    <s v="O00171"/>
    <d v="2024-10-23T00:00:00"/>
    <x v="9"/>
    <s v="C0145"/>
    <x v="28"/>
    <s v="No Campaign"/>
    <x v="1"/>
    <n v="5"/>
    <n v="0.3"/>
    <n v="393.05"/>
    <n v="152.85"/>
    <n v="0.3888818216511894"/>
  </r>
  <r>
    <s v="O00172"/>
    <d v="2025-05-10T00:00:00"/>
    <x v="0"/>
    <s v="C0184"/>
    <x v="17"/>
    <s v="CA005"/>
    <x v="0"/>
    <n v="3"/>
    <n v="0.2"/>
    <n v="352.73"/>
    <n v="168.71"/>
    <n v="0.47829784821251381"/>
  </r>
  <r>
    <s v="O00173"/>
    <d v="2025-05-25T00:00:00"/>
    <x v="0"/>
    <s v="C0255"/>
    <x v="0"/>
    <s v="CA002"/>
    <x v="0"/>
    <n v="4"/>
    <n v="0.1"/>
    <n v="728.86"/>
    <n v="258.06"/>
    <n v="0.35405976456383942"/>
  </r>
  <r>
    <s v="O00174"/>
    <d v="2024-11-27T00:00:00"/>
    <x v="8"/>
    <s v="C0105"/>
    <x v="9"/>
    <s v="No Campaign"/>
    <x v="1"/>
    <n v="4"/>
    <n v="0"/>
    <n v="642.91999999999996"/>
    <n v="224.08"/>
    <n v="0.34853480992969582"/>
  </r>
  <r>
    <s v="O00175"/>
    <d v="2025-02-02T00:00:00"/>
    <x v="2"/>
    <s v="C0289"/>
    <x v="14"/>
    <s v="CA004"/>
    <x v="0"/>
    <n v="2"/>
    <n v="0"/>
    <n v="193.58"/>
    <n v="63.46"/>
    <n v="0.32782312222337018"/>
  </r>
  <r>
    <s v="O00176"/>
    <d v="2024-09-02T00:00:00"/>
    <x v="7"/>
    <s v="C0134"/>
    <x v="11"/>
    <s v="No Campaign"/>
    <x v="1"/>
    <n v="3"/>
    <n v="0.05"/>
    <n v="1054.44"/>
    <n v="537.92999999999995"/>
    <n v="0.51015705018777735"/>
  </r>
  <r>
    <s v="O00177"/>
    <d v="2025-05-15T00:00:00"/>
    <x v="0"/>
    <s v="C0101"/>
    <x v="27"/>
    <s v="CA004"/>
    <x v="0"/>
    <n v="4"/>
    <n v="0.2"/>
    <n v="255.74"/>
    <n v="9.94"/>
    <n v="3.8867599906154682E-2"/>
  </r>
  <r>
    <s v="O00178"/>
    <d v="2025-02-19T00:00:00"/>
    <x v="2"/>
    <s v="C0126"/>
    <x v="21"/>
    <s v="No Campaign"/>
    <x v="1"/>
    <n v="3"/>
    <n v="0.15"/>
    <n v="504.11"/>
    <n v="217.19"/>
    <n v="0.43083850746860802"/>
  </r>
  <r>
    <s v="O00179"/>
    <d v="2024-10-26T00:00:00"/>
    <x v="9"/>
    <s v="C0252"/>
    <x v="0"/>
    <s v="CA003"/>
    <x v="0"/>
    <n v="3"/>
    <n v="0.05"/>
    <n v="577.01"/>
    <n v="223.91"/>
    <n v="0.38805220013517966"/>
  </r>
  <r>
    <s v="O00180"/>
    <d v="2024-09-03T00:00:00"/>
    <x v="7"/>
    <s v="C0072"/>
    <x v="18"/>
    <s v="No Campaign"/>
    <x v="1"/>
    <n v="2"/>
    <n v="0.2"/>
    <n v="235.42"/>
    <n v="88.68"/>
    <n v="0.37668847166765784"/>
  </r>
  <r>
    <s v="O00181"/>
    <d v="2024-09-24T00:00:00"/>
    <x v="7"/>
    <s v="C0031"/>
    <x v="7"/>
    <s v="CA001"/>
    <x v="0"/>
    <n v="1"/>
    <n v="0.3"/>
    <n v="328.71"/>
    <n v="19.149999999999999"/>
    <n v="5.8258039000943077E-2"/>
  </r>
  <r>
    <s v="O00182"/>
    <d v="2025-01-07T00:00:00"/>
    <x v="3"/>
    <s v="C0025"/>
    <x v="10"/>
    <s v="CA001"/>
    <x v="0"/>
    <n v="4"/>
    <n v="0.05"/>
    <n v="1142.28"/>
    <n v="229.52"/>
    <n v="0.20093147039254824"/>
  </r>
  <r>
    <s v="O00183"/>
    <d v="2024-10-22T00:00:00"/>
    <x v="9"/>
    <s v="C0119"/>
    <x v="4"/>
    <s v="CA003"/>
    <x v="0"/>
    <n v="1"/>
    <n v="0.05"/>
    <n v="211.39"/>
    <n v="119.73"/>
    <n v="0.56639386915180479"/>
  </r>
  <r>
    <s v="O00184"/>
    <d v="2024-08-07T00:00:00"/>
    <x v="11"/>
    <s v="C0259"/>
    <x v="0"/>
    <s v="No Campaign"/>
    <x v="1"/>
    <n v="1"/>
    <n v="0.2"/>
    <n v="161.97"/>
    <n v="44.27"/>
    <n v="0.27332222016422797"/>
  </r>
  <r>
    <s v="O00185"/>
    <d v="2024-08-30T00:00:00"/>
    <x v="11"/>
    <s v="C0248"/>
    <x v="19"/>
    <s v="No Campaign"/>
    <x v="1"/>
    <n v="1"/>
    <n v="0"/>
    <n v="51.77"/>
    <n v="12.15"/>
    <n v="0.23469190650956151"/>
  </r>
  <r>
    <s v="O00186"/>
    <d v="2025-06-08T00:00:00"/>
    <x v="6"/>
    <s v="C0273"/>
    <x v="11"/>
    <s v="No Campaign"/>
    <x v="1"/>
    <n v="1"/>
    <n v="0"/>
    <n v="369.98"/>
    <n v="197.81"/>
    <n v="0.53465052164981886"/>
  </r>
  <r>
    <s v="O00187"/>
    <d v="2025-06-20T00:00:00"/>
    <x v="6"/>
    <s v="C0272"/>
    <x v="18"/>
    <s v="CA005"/>
    <x v="0"/>
    <n v="5"/>
    <n v="0.1"/>
    <n v="662.13"/>
    <n v="295.27999999999997"/>
    <n v="0.44595472188240975"/>
  </r>
  <r>
    <s v="O00188"/>
    <d v="2025-01-17T00:00:00"/>
    <x v="3"/>
    <s v="C0009"/>
    <x v="7"/>
    <s v="No Campaign"/>
    <x v="1"/>
    <n v="2"/>
    <n v="0"/>
    <n v="939.18"/>
    <n v="320.06"/>
    <n v="0.34078664366788053"/>
  </r>
  <r>
    <s v="O00189"/>
    <d v="2025-04-29T00:00:00"/>
    <x v="1"/>
    <s v="C0050"/>
    <x v="7"/>
    <s v="CA003"/>
    <x v="0"/>
    <n v="2"/>
    <n v="0.05"/>
    <n v="892.22"/>
    <n v="273.10000000000002"/>
    <n v="0.30609042612808501"/>
  </r>
  <r>
    <s v="O00190"/>
    <d v="2024-09-24T00:00:00"/>
    <x v="7"/>
    <s v="C0270"/>
    <x v="15"/>
    <s v="No Campaign"/>
    <x v="1"/>
    <n v="3"/>
    <n v="0.15"/>
    <n v="164.53"/>
    <n v="79.63"/>
    <n v="0.48398468364432018"/>
  </r>
  <r>
    <s v="O00191"/>
    <d v="2025-04-29T00:00:00"/>
    <x v="1"/>
    <s v="C0041"/>
    <x v="9"/>
    <s v="No Campaign"/>
    <x v="1"/>
    <n v="4"/>
    <n v="0.2"/>
    <n v="514.34"/>
    <n v="95.5"/>
    <n v="0.18567484543298207"/>
  </r>
  <r>
    <s v="O00192"/>
    <d v="2025-01-31T00:00:00"/>
    <x v="3"/>
    <s v="C0125"/>
    <x v="12"/>
    <s v="CA004"/>
    <x v="0"/>
    <n v="3"/>
    <n v="0.3"/>
    <n v="702.68"/>
    <n v="142.28"/>
    <n v="0.20248192633915865"/>
  </r>
  <r>
    <s v="O00193"/>
    <d v="2025-05-14T00:00:00"/>
    <x v="0"/>
    <s v="C0042"/>
    <x v="8"/>
    <s v="CA001"/>
    <x v="0"/>
    <n v="1"/>
    <n v="0.15"/>
    <n v="352.3"/>
    <n v="53.05"/>
    <n v="0.15058189043428893"/>
  </r>
  <r>
    <s v="O00194"/>
    <d v="2025-06-16T00:00:00"/>
    <x v="6"/>
    <s v="C0195"/>
    <x v="28"/>
    <s v="No Campaign"/>
    <x v="1"/>
    <n v="1"/>
    <n v="0.3"/>
    <n v="78.61"/>
    <n v="30.57"/>
    <n v="0.3888818216511894"/>
  </r>
  <r>
    <s v="O00195"/>
    <d v="2025-06-15T00:00:00"/>
    <x v="6"/>
    <s v="C0005"/>
    <x v="12"/>
    <s v="CA003"/>
    <x v="0"/>
    <n v="1"/>
    <n v="0.15"/>
    <n v="284.42"/>
    <n v="97.62"/>
    <n v="0.34322480838197034"/>
  </r>
  <r>
    <s v="O00196"/>
    <d v="2024-11-18T00:00:00"/>
    <x v="8"/>
    <s v="C0223"/>
    <x v="8"/>
    <s v="No Campaign"/>
    <x v="1"/>
    <n v="5"/>
    <n v="0"/>
    <n v="2072.35"/>
    <n v="576.1"/>
    <n v="0.27799358216517484"/>
  </r>
  <r>
    <s v="O00197"/>
    <d v="2024-12-22T00:00:00"/>
    <x v="5"/>
    <s v="C0271"/>
    <x v="25"/>
    <s v="CA001"/>
    <x v="0"/>
    <n v="2"/>
    <n v="0.05"/>
    <n v="823.02"/>
    <n v="472.5"/>
    <n v="0.57410512502733835"/>
  </r>
  <r>
    <s v="O00198"/>
    <d v="2025-06-23T00:00:00"/>
    <x v="6"/>
    <s v="C0291"/>
    <x v="21"/>
    <s v="CA005"/>
    <x v="0"/>
    <n v="1"/>
    <n v="0"/>
    <n v="197.69"/>
    <n v="102.05"/>
    <n v="0.51621225150488137"/>
  </r>
  <r>
    <s v="O00199"/>
    <d v="2025-06-03T00:00:00"/>
    <x v="6"/>
    <s v="C0144"/>
    <x v="24"/>
    <s v="CA001"/>
    <x v="0"/>
    <n v="2"/>
    <n v="0.1"/>
    <n v="365.72"/>
    <n v="41.26"/>
    <n v="0.11281854971016077"/>
  </r>
  <r>
    <s v="O00200"/>
    <d v="2024-09-21T00:00:00"/>
    <x v="7"/>
    <s v="C0009"/>
    <x v="1"/>
    <s v="CA003"/>
    <x v="0"/>
    <n v="4"/>
    <n v="0"/>
    <n v="1627.16"/>
    <n v="521.91999999999996"/>
    <n v="0.32075518080582116"/>
  </r>
  <r>
    <s v="O00201"/>
    <d v="2024-12-07T00:00:00"/>
    <x v="5"/>
    <s v="C0154"/>
    <x v="6"/>
    <s v="CA004"/>
    <x v="0"/>
    <n v="5"/>
    <n v="0.15"/>
    <n v="1287.1099999999999"/>
    <n v="191.16"/>
    <n v="0.14851877461910792"/>
  </r>
  <r>
    <s v="O00202"/>
    <d v="2025-01-13T00:00:00"/>
    <x v="3"/>
    <s v="C0277"/>
    <x v="27"/>
    <s v="No Campaign"/>
    <x v="1"/>
    <n v="2"/>
    <n v="0.3"/>
    <n v="111.89"/>
    <n v="-11.01"/>
    <n v="-9.8400214496380367E-2"/>
  </r>
  <r>
    <s v="O00203"/>
    <d v="2025-01-28T00:00:00"/>
    <x v="3"/>
    <s v="C0041"/>
    <x v="7"/>
    <s v="No Campaign"/>
    <x v="1"/>
    <n v="1"/>
    <n v="0"/>
    <n v="469.59"/>
    <n v="160.03"/>
    <n v="0.34078664366788053"/>
  </r>
  <r>
    <s v="O00204"/>
    <d v="2024-10-26T00:00:00"/>
    <x v="9"/>
    <s v="C0224"/>
    <x v="20"/>
    <s v="CA002"/>
    <x v="0"/>
    <n v="3"/>
    <n v="0.2"/>
    <n v="227.11"/>
    <n v="4.87"/>
    <n v="2.1443353441063802E-2"/>
  </r>
  <r>
    <s v="O00205"/>
    <d v="2025-02-24T00:00:00"/>
    <x v="2"/>
    <s v="C0204"/>
    <x v="10"/>
    <s v="No Campaign"/>
    <x v="1"/>
    <n v="1"/>
    <n v="0.3"/>
    <n v="210.42"/>
    <n v="-17.77"/>
    <n v="-8.445014732439883E-2"/>
  </r>
  <r>
    <s v="O00206"/>
    <d v="2024-10-02T00:00:00"/>
    <x v="9"/>
    <s v="C0140"/>
    <x v="22"/>
    <s v="No Campaign"/>
    <x v="1"/>
    <n v="4"/>
    <n v="0.05"/>
    <n v="476.03"/>
    <n v="75.67"/>
    <n v="0.15896056971199296"/>
  </r>
  <r>
    <s v="O00207"/>
    <d v="2025-05-14T00:00:00"/>
    <x v="0"/>
    <s v="C0183"/>
    <x v="11"/>
    <s v="No Campaign"/>
    <x v="1"/>
    <n v="4"/>
    <n v="0.05"/>
    <n v="1405.92"/>
    <n v="717.24"/>
    <n v="0.51015705018777735"/>
  </r>
  <r>
    <s v="O00208"/>
    <d v="2024-12-12T00:00:00"/>
    <x v="5"/>
    <s v="C0300"/>
    <x v="19"/>
    <s v="No Campaign"/>
    <x v="1"/>
    <n v="1"/>
    <n v="0.2"/>
    <n v="41.42"/>
    <n v="1.8"/>
    <n v="4.3457267020762913E-2"/>
  </r>
  <r>
    <s v="O00209"/>
    <d v="2024-08-07T00:00:00"/>
    <x v="11"/>
    <s v="C0152"/>
    <x v="22"/>
    <s v="CA004"/>
    <x v="0"/>
    <n v="1"/>
    <n v="0"/>
    <n v="125.27"/>
    <n v="25.18"/>
    <n v="0.20100582741278838"/>
  </r>
  <r>
    <s v="O00210"/>
    <d v="2024-12-12T00:00:00"/>
    <x v="5"/>
    <s v="C0138"/>
    <x v="29"/>
    <s v="No Campaign"/>
    <x v="1"/>
    <n v="2"/>
    <n v="0.3"/>
    <n v="464.72"/>
    <n v="54.46"/>
    <n v="0.11718884489585125"/>
  </r>
  <r>
    <s v="O00211"/>
    <d v="2024-10-19T00:00:00"/>
    <x v="9"/>
    <s v="C0200"/>
    <x v="27"/>
    <s v="No Campaign"/>
    <x v="1"/>
    <n v="1"/>
    <n v="0"/>
    <n v="79.92"/>
    <n v="18.47"/>
    <n v="0.23110610610610607"/>
  </r>
  <r>
    <s v="O00212"/>
    <d v="2024-10-21T00:00:00"/>
    <x v="9"/>
    <s v="C0003"/>
    <x v="17"/>
    <s v="No Campaign"/>
    <x v="1"/>
    <n v="3"/>
    <n v="0.1"/>
    <n v="396.82"/>
    <n v="212.8"/>
    <n v="0.53626329318078725"/>
  </r>
  <r>
    <s v="O00213"/>
    <d v="2024-07-11T00:00:00"/>
    <x v="10"/>
    <s v="C0053"/>
    <x v="29"/>
    <s v="CA002"/>
    <x v="0"/>
    <n v="2"/>
    <n v="0.15"/>
    <n v="564.29999999999995"/>
    <n v="154.04"/>
    <n v="0.27297536771220982"/>
  </r>
  <r>
    <s v="O00214"/>
    <d v="2024-08-14T00:00:00"/>
    <x v="11"/>
    <s v="C0230"/>
    <x v="11"/>
    <s v="No Campaign"/>
    <x v="1"/>
    <n v="1"/>
    <n v="0"/>
    <n v="369.98"/>
    <n v="197.81"/>
    <n v="0.53465052164981886"/>
  </r>
  <r>
    <s v="O00215"/>
    <d v="2025-01-23T00:00:00"/>
    <x v="3"/>
    <s v="C0046"/>
    <x v="9"/>
    <s v="CA002"/>
    <x v="0"/>
    <n v="5"/>
    <n v="0.2"/>
    <n v="642.91999999999996"/>
    <n v="119.37"/>
    <n v="0.18566851241211974"/>
  </r>
  <r>
    <s v="O00216"/>
    <d v="2024-10-07T00:00:00"/>
    <x v="9"/>
    <s v="C0167"/>
    <x v="14"/>
    <s v="No Campaign"/>
    <x v="1"/>
    <n v="1"/>
    <n v="0.1"/>
    <n v="87.11"/>
    <n v="22.05"/>
    <n v="0.25312822867638618"/>
  </r>
  <r>
    <s v="O00217"/>
    <d v="2024-10-25T00:00:00"/>
    <x v="9"/>
    <s v="C0212"/>
    <x v="28"/>
    <s v="CA002"/>
    <x v="0"/>
    <n v="5"/>
    <n v="0.05"/>
    <n v="533.41999999999996"/>
    <n v="293.22000000000003"/>
    <n v="0.5496981740467175"/>
  </r>
  <r>
    <s v="O00218"/>
    <d v="2024-07-30T00:00:00"/>
    <x v="10"/>
    <s v="C0293"/>
    <x v="7"/>
    <s v="CA003"/>
    <x v="0"/>
    <n v="4"/>
    <n v="0.05"/>
    <n v="1784.44"/>
    <n v="546.20000000000005"/>
    <n v="0.30609042612808501"/>
  </r>
  <r>
    <s v="O00219"/>
    <d v="2025-06-30T00:00:00"/>
    <x v="6"/>
    <s v="C0072"/>
    <x v="15"/>
    <s v="CA005"/>
    <x v="0"/>
    <n v="3"/>
    <n v="0.15"/>
    <n v="164.53"/>
    <n v="79.63"/>
    <n v="0.48398468364432018"/>
  </r>
  <r>
    <s v="O00220"/>
    <d v="2024-11-05T00:00:00"/>
    <x v="8"/>
    <s v="C0075"/>
    <x v="4"/>
    <s v="CA003"/>
    <x v="0"/>
    <n v="4"/>
    <n v="0.1"/>
    <n v="801.07"/>
    <n v="434.43"/>
    <n v="0.5423121574893579"/>
  </r>
  <r>
    <s v="O00221"/>
    <d v="2025-03-20T00:00:00"/>
    <x v="4"/>
    <s v="C0216"/>
    <x v="17"/>
    <s v="No Campaign"/>
    <x v="1"/>
    <n v="1"/>
    <n v="0.1"/>
    <n v="132.27000000000001"/>
    <n v="70.930000000000007"/>
    <n v="0.53625160656233462"/>
  </r>
  <r>
    <s v="O00222"/>
    <d v="2024-08-30T00:00:00"/>
    <x v="11"/>
    <s v="C0129"/>
    <x v="20"/>
    <s v="No Campaign"/>
    <x v="1"/>
    <n v="5"/>
    <n v="0.2"/>
    <n v="378.52"/>
    <n v="8.1199999999999992"/>
    <n v="2.1451970833773645E-2"/>
  </r>
  <r>
    <s v="O00223"/>
    <d v="2025-05-20T00:00:00"/>
    <x v="0"/>
    <s v="C0101"/>
    <x v="0"/>
    <s v="CA002"/>
    <x v="0"/>
    <n v="2"/>
    <n v="0.1"/>
    <n v="364.43"/>
    <n v="129.03"/>
    <n v="0.35405976456383942"/>
  </r>
  <r>
    <s v="O00224"/>
    <d v="2025-01-03T00:00:00"/>
    <x v="3"/>
    <s v="C0004"/>
    <x v="28"/>
    <s v="No Campaign"/>
    <x v="1"/>
    <n v="5"/>
    <n v="0.15"/>
    <n v="477.28"/>
    <n v="237.08"/>
    <n v="0.49673147837747239"/>
  </r>
  <r>
    <s v="O00225"/>
    <d v="2024-10-14T00:00:00"/>
    <x v="9"/>
    <s v="C0169"/>
    <x v="0"/>
    <s v="No Campaign"/>
    <x v="1"/>
    <n v="4"/>
    <n v="0.3"/>
    <n v="566.89"/>
    <n v="96.09"/>
    <n v="0.16950378380285419"/>
  </r>
  <r>
    <s v="O00226"/>
    <d v="2024-08-04T00:00:00"/>
    <x v="11"/>
    <s v="C0070"/>
    <x v="17"/>
    <s v="No Campaign"/>
    <x v="1"/>
    <n v="5"/>
    <n v="0.3"/>
    <n v="514.4"/>
    <n v="207.7"/>
    <n v="0.40377138413685848"/>
  </r>
  <r>
    <s v="O00227"/>
    <d v="2025-05-14T00:00:00"/>
    <x v="0"/>
    <s v="C0103"/>
    <x v="21"/>
    <s v="No Campaign"/>
    <x v="1"/>
    <n v="2"/>
    <n v="0.15"/>
    <n v="336.07"/>
    <n v="144.79"/>
    <n v="0.4308328622013271"/>
  </r>
  <r>
    <s v="O00228"/>
    <d v="2025-04-01T00:00:00"/>
    <x v="1"/>
    <s v="C0164"/>
    <x v="17"/>
    <s v="No Campaign"/>
    <x v="1"/>
    <n v="5"/>
    <n v="0.05"/>
    <n v="698.11"/>
    <n v="391.41"/>
    <n v="0.56067095443411497"/>
  </r>
  <r>
    <s v="O00229"/>
    <d v="2025-06-20T00:00:00"/>
    <x v="6"/>
    <s v="C0167"/>
    <x v="28"/>
    <s v="CA005"/>
    <x v="0"/>
    <n v="4"/>
    <n v="0.1"/>
    <n v="404.28"/>
    <n v="212.12"/>
    <n v="0.52468586128425854"/>
  </r>
  <r>
    <s v="O00230"/>
    <d v="2024-12-23T00:00:00"/>
    <x v="5"/>
    <s v="C0059"/>
    <x v="25"/>
    <s v="CA004"/>
    <x v="0"/>
    <n v="5"/>
    <n v="0.2"/>
    <n v="1732.68"/>
    <n v="856.38"/>
    <n v="0.4942516794791883"/>
  </r>
  <r>
    <s v="O00231"/>
    <d v="2025-01-05T00:00:00"/>
    <x v="3"/>
    <s v="C0093"/>
    <x v="19"/>
    <s v="CA001"/>
    <x v="0"/>
    <n v="4"/>
    <n v="0.3"/>
    <n v="144.96"/>
    <n v="-13.52"/>
    <n v="-9.326710816777041E-2"/>
  </r>
  <r>
    <s v="O00232"/>
    <d v="2024-08-01T00:00:00"/>
    <x v="11"/>
    <s v="C0108"/>
    <x v="0"/>
    <s v="CA005"/>
    <x v="0"/>
    <n v="1"/>
    <n v="0.15"/>
    <n v="172.09"/>
    <n v="54.39"/>
    <n v="0.31605555232727062"/>
  </r>
  <r>
    <s v="O00233"/>
    <d v="2024-11-30T00:00:00"/>
    <x v="8"/>
    <s v="C0256"/>
    <x v="29"/>
    <s v="CA005"/>
    <x v="0"/>
    <n v="2"/>
    <n v="0.1"/>
    <n v="597.49"/>
    <n v="187.23"/>
    <n v="0.31336089306934006"/>
  </r>
  <r>
    <s v="O00234"/>
    <d v="2025-01-01T00:00:00"/>
    <x v="3"/>
    <s v="C0079"/>
    <x v="12"/>
    <s v="No Campaign"/>
    <x v="1"/>
    <n v="4"/>
    <n v="0"/>
    <n v="1338.44"/>
    <n v="591.24"/>
    <n v="0.44173814291264457"/>
  </r>
  <r>
    <s v="O00235"/>
    <d v="2024-07-08T00:00:00"/>
    <x v="10"/>
    <s v="C0230"/>
    <x v="16"/>
    <s v="No Campaign"/>
    <x v="1"/>
    <n v="5"/>
    <n v="0.15"/>
    <n v="746.56"/>
    <n v="125.31"/>
    <n v="0.16784987141020147"/>
  </r>
  <r>
    <s v="O00236"/>
    <d v="2025-04-03T00:00:00"/>
    <x v="1"/>
    <s v="C0274"/>
    <x v="7"/>
    <s v="No Campaign"/>
    <x v="1"/>
    <n v="5"/>
    <n v="0"/>
    <n v="2347.9499999999998"/>
    <n v="800.15"/>
    <n v="0.34078664366788053"/>
  </r>
  <r>
    <s v="O00237"/>
    <d v="2025-03-11T00:00:00"/>
    <x v="4"/>
    <s v="C0185"/>
    <x v="12"/>
    <s v="CA002"/>
    <x v="0"/>
    <n v="1"/>
    <n v="0.05"/>
    <n v="317.88"/>
    <n v="131.08000000000001"/>
    <n v="0.41235686422549395"/>
  </r>
  <r>
    <s v="O00238"/>
    <d v="2024-10-28T00:00:00"/>
    <x v="9"/>
    <s v="C0182"/>
    <x v="6"/>
    <s v="CA001"/>
    <x v="0"/>
    <n v="5"/>
    <n v="0.3"/>
    <n v="1059.97"/>
    <n v="-35.979999999999997"/>
    <n v="-3.394435691576176E-2"/>
  </r>
  <r>
    <s v="O00239"/>
    <d v="2025-02-27T00:00:00"/>
    <x v="2"/>
    <s v="C0205"/>
    <x v="10"/>
    <s v="No Campaign"/>
    <x v="1"/>
    <n v="4"/>
    <n v="0"/>
    <n v="1202.4000000000001"/>
    <n v="289.64"/>
    <n v="0.24088489687292081"/>
  </r>
  <r>
    <s v="O00240"/>
    <d v="2025-06-01T00:00:00"/>
    <x v="6"/>
    <s v="C0006"/>
    <x v="3"/>
    <s v="CA005"/>
    <x v="0"/>
    <n v="2"/>
    <n v="0.2"/>
    <n v="420.11"/>
    <n v="204.47"/>
    <n v="0.48670586275023209"/>
  </r>
  <r>
    <s v="O00241"/>
    <d v="2024-12-29T00:00:00"/>
    <x v="5"/>
    <s v="C0266"/>
    <x v="11"/>
    <s v="CA004"/>
    <x v="0"/>
    <n v="4"/>
    <n v="0.1"/>
    <n v="1331.93"/>
    <n v="643.25"/>
    <n v="0.48294580045497887"/>
  </r>
  <r>
    <s v="O00242"/>
    <d v="2024-12-18T00:00:00"/>
    <x v="5"/>
    <s v="C0201"/>
    <x v="0"/>
    <s v="CA003"/>
    <x v="0"/>
    <n v="3"/>
    <n v="0"/>
    <n v="607.38"/>
    <n v="254.28"/>
    <n v="0.41865059764891832"/>
  </r>
  <r>
    <s v="O00243"/>
    <d v="2024-07-02T00:00:00"/>
    <x v="10"/>
    <s v="C0248"/>
    <x v="3"/>
    <s v="CA005"/>
    <x v="0"/>
    <n v="4"/>
    <n v="0"/>
    <n v="1050.28"/>
    <n v="619"/>
    <n v="0.58936664508512016"/>
  </r>
  <r>
    <s v="O00244"/>
    <d v="2025-05-10T00:00:00"/>
    <x v="0"/>
    <s v="C0060"/>
    <x v="23"/>
    <s v="CA003"/>
    <x v="0"/>
    <n v="3"/>
    <n v="0.1"/>
    <n v="1033.51"/>
    <n v="178.63"/>
    <n v="0.17283819218004665"/>
  </r>
  <r>
    <s v="O00245"/>
    <d v="2025-05-17T00:00:00"/>
    <x v="0"/>
    <s v="C0176"/>
    <x v="0"/>
    <s v="CA004"/>
    <x v="0"/>
    <n v="5"/>
    <n v="0.15"/>
    <n v="860.46"/>
    <n v="271.95999999999998"/>
    <n v="0.31606350091811353"/>
  </r>
  <r>
    <s v="O00246"/>
    <d v="2025-04-25T00:00:00"/>
    <x v="1"/>
    <s v="C0179"/>
    <x v="21"/>
    <s v="CA002"/>
    <x v="0"/>
    <n v="4"/>
    <n v="0.3"/>
    <n v="553.53"/>
    <n v="170.97"/>
    <n v="0.30887214785106498"/>
  </r>
  <r>
    <s v="O00247"/>
    <d v="2024-10-11T00:00:00"/>
    <x v="9"/>
    <s v="C0232"/>
    <x v="27"/>
    <s v="CA002"/>
    <x v="0"/>
    <n v="3"/>
    <n v="0"/>
    <n v="239.76"/>
    <n v="55.41"/>
    <n v="0.2311061061061061"/>
  </r>
  <r>
    <s v="O00248"/>
    <d v="2024-10-24T00:00:00"/>
    <x v="9"/>
    <s v="C0059"/>
    <x v="5"/>
    <s v="No Campaign"/>
    <x v="1"/>
    <n v="1"/>
    <n v="0.3"/>
    <n v="263.16000000000003"/>
    <n v="75.959999999999994"/>
    <n v="0.28864569083447328"/>
  </r>
  <r>
    <s v="O00249"/>
    <d v="2025-05-11T00:00:00"/>
    <x v="0"/>
    <s v="C0085"/>
    <x v="25"/>
    <s v="CA004"/>
    <x v="0"/>
    <n v="5"/>
    <n v="0.05"/>
    <n v="2057.56"/>
    <n v="1181.26"/>
    <n v="0.57410719492991702"/>
  </r>
  <r>
    <s v="O00250"/>
    <d v="2025-02-14T00:00:00"/>
    <x v="2"/>
    <s v="C0283"/>
    <x v="6"/>
    <s v="No Campaign"/>
    <x v="1"/>
    <n v="5"/>
    <n v="0.15"/>
    <n v="1287.1099999999999"/>
    <n v="191.16"/>
    <n v="0.14851877461910792"/>
  </r>
  <r>
    <s v="O00251"/>
    <d v="2024-10-17T00:00:00"/>
    <x v="9"/>
    <s v="C0237"/>
    <x v="20"/>
    <s v="No Campaign"/>
    <x v="1"/>
    <n v="2"/>
    <n v="0.05"/>
    <n v="179.8"/>
    <n v="31.64"/>
    <n v="0.17597330367074526"/>
  </r>
  <r>
    <s v="O00252"/>
    <d v="2025-06-28T00:00:00"/>
    <x v="6"/>
    <s v="C0222"/>
    <x v="28"/>
    <s v="CA001"/>
    <x v="0"/>
    <n v="5"/>
    <n v="0.05"/>
    <n v="533.41999999999996"/>
    <n v="293.22000000000003"/>
    <n v="0.5496981740467175"/>
  </r>
  <r>
    <s v="O00253"/>
    <d v="2024-09-03T00:00:00"/>
    <x v="7"/>
    <s v="C0231"/>
    <x v="26"/>
    <s v="No Campaign"/>
    <x v="1"/>
    <n v="4"/>
    <n v="0"/>
    <n v="1979.88"/>
    <n v="681.08"/>
    <n v="0.3440006465038285"/>
  </r>
  <r>
    <s v="O00254"/>
    <d v="2025-04-07T00:00:00"/>
    <x v="1"/>
    <s v="C0110"/>
    <x v="1"/>
    <s v="CA005"/>
    <x v="0"/>
    <n v="1"/>
    <n v="0.2"/>
    <n v="325.43"/>
    <n v="49.12"/>
    <n v="0.15093875795101863"/>
  </r>
  <r>
    <s v="O00255"/>
    <d v="2024-09-20T00:00:00"/>
    <x v="7"/>
    <s v="C0053"/>
    <x v="22"/>
    <s v="CA003"/>
    <x v="0"/>
    <n v="3"/>
    <n v="0.1"/>
    <n v="338.23"/>
    <n v="37.96"/>
    <n v="0.11223132188155988"/>
  </r>
  <r>
    <s v="O00256"/>
    <d v="2025-03-29T00:00:00"/>
    <x v="4"/>
    <s v="C0101"/>
    <x v="0"/>
    <s v="CA002"/>
    <x v="0"/>
    <n v="3"/>
    <n v="0.3"/>
    <n v="425.17"/>
    <n v="72.069999999999993"/>
    <n v="0.16950866712138671"/>
  </r>
  <r>
    <s v="O00257"/>
    <d v="2024-08-15T00:00:00"/>
    <x v="11"/>
    <s v="C0251"/>
    <x v="7"/>
    <s v="No Campaign"/>
    <x v="1"/>
    <n v="5"/>
    <n v="0.15"/>
    <n v="1995.76"/>
    <n v="447.96"/>
    <n v="0.22445584639435603"/>
  </r>
  <r>
    <s v="O00258"/>
    <d v="2025-02-16T00:00:00"/>
    <x v="2"/>
    <s v="C0201"/>
    <x v="26"/>
    <s v="CA002"/>
    <x v="0"/>
    <n v="3"/>
    <n v="0.1"/>
    <n v="1336.42"/>
    <n v="362.32"/>
    <n v="0.27111237485221712"/>
  </r>
  <r>
    <s v="O00259"/>
    <d v="2025-06-26T00:00:00"/>
    <x v="6"/>
    <s v="C0235"/>
    <x v="16"/>
    <s v="CA003"/>
    <x v="0"/>
    <n v="3"/>
    <n v="0.2"/>
    <n v="421.58"/>
    <n v="48.83"/>
    <n v="0.1158261777124152"/>
  </r>
  <r>
    <s v="O00260"/>
    <d v="2024-11-19T00:00:00"/>
    <x v="8"/>
    <s v="C0044"/>
    <x v="19"/>
    <s v="CA003"/>
    <x v="0"/>
    <n v="3"/>
    <n v="0"/>
    <n v="155.31"/>
    <n v="36.450000000000003"/>
    <n v="0.23469190650956154"/>
  </r>
  <r>
    <s v="O00261"/>
    <d v="2024-10-04T00:00:00"/>
    <x v="9"/>
    <s v="C0123"/>
    <x v="17"/>
    <s v="CA002"/>
    <x v="0"/>
    <n v="2"/>
    <n v="0.1"/>
    <n v="264.55"/>
    <n v="141.87"/>
    <n v="0.5362691362691363"/>
  </r>
  <r>
    <s v="O00262"/>
    <d v="2024-08-30T00:00:00"/>
    <x v="11"/>
    <s v="C0073"/>
    <x v="7"/>
    <s v="No Campaign"/>
    <x v="1"/>
    <n v="4"/>
    <n v="0.2"/>
    <n v="1502.69"/>
    <n v="264.45"/>
    <n v="0.17598440130698945"/>
  </r>
  <r>
    <s v="O00263"/>
    <d v="2025-06-02T00:00:00"/>
    <x v="6"/>
    <s v="C0071"/>
    <x v="26"/>
    <s v="No Campaign"/>
    <x v="1"/>
    <n v="4"/>
    <n v="0.05"/>
    <n v="1880.89"/>
    <n v="582.09"/>
    <n v="0.30947583324915334"/>
  </r>
  <r>
    <s v="O00264"/>
    <d v="2025-04-13T00:00:00"/>
    <x v="1"/>
    <s v="C0250"/>
    <x v="8"/>
    <s v="CA003"/>
    <x v="0"/>
    <n v="5"/>
    <n v="0.05"/>
    <n v="1968.73"/>
    <n v="472.48"/>
    <n v="0.23999227928664674"/>
  </r>
  <r>
    <s v="O00265"/>
    <d v="2025-04-25T00:00:00"/>
    <x v="1"/>
    <s v="C0251"/>
    <x v="17"/>
    <s v="CA003"/>
    <x v="0"/>
    <n v="2"/>
    <n v="0.1"/>
    <n v="264.55"/>
    <n v="141.87"/>
    <n v="0.5362691362691363"/>
  </r>
  <r>
    <s v="O00266"/>
    <d v="2024-12-06T00:00:00"/>
    <x v="5"/>
    <s v="C0231"/>
    <x v="16"/>
    <s v="CA001"/>
    <x v="0"/>
    <n v="3"/>
    <n v="0"/>
    <n v="526.98"/>
    <n v="154.22999999999999"/>
    <n v="0.29266765342138218"/>
  </r>
  <r>
    <s v="O00267"/>
    <d v="2025-05-25T00:00:00"/>
    <x v="0"/>
    <s v="C0249"/>
    <x v="29"/>
    <s v="CA004"/>
    <x v="0"/>
    <n v="4"/>
    <n v="0.2"/>
    <n v="1062.21"/>
    <n v="241.69"/>
    <n v="0.22753504485930276"/>
  </r>
  <r>
    <s v="O00268"/>
    <d v="2024-11-07T00:00:00"/>
    <x v="8"/>
    <s v="C0259"/>
    <x v="8"/>
    <s v="No Campaign"/>
    <x v="1"/>
    <n v="4"/>
    <n v="0.3"/>
    <n v="1160.52"/>
    <n v="-36.479999999999997"/>
    <n v="-3.1434184675834968E-2"/>
  </r>
  <r>
    <s v="O00269"/>
    <d v="2025-06-03T00:00:00"/>
    <x v="6"/>
    <s v="C0252"/>
    <x v="2"/>
    <s v="No Campaign"/>
    <x v="1"/>
    <n v="4"/>
    <n v="0.05"/>
    <n v="603.86"/>
    <n v="329.3"/>
    <n v="0.54532507534859076"/>
  </r>
  <r>
    <s v="O00270"/>
    <d v="2024-12-21T00:00:00"/>
    <x v="5"/>
    <s v="C0043"/>
    <x v="26"/>
    <s v="CA001"/>
    <x v="0"/>
    <n v="2"/>
    <n v="0.1"/>
    <n v="890.95"/>
    <n v="241.55"/>
    <n v="0.27111510185756776"/>
  </r>
  <r>
    <s v="O00271"/>
    <d v="2024-10-04T00:00:00"/>
    <x v="9"/>
    <s v="C0017"/>
    <x v="15"/>
    <s v="CA004"/>
    <x v="0"/>
    <n v="5"/>
    <n v="0.1"/>
    <n v="290.33999999999997"/>
    <n v="148.84"/>
    <n v="0.51264035268994979"/>
  </r>
  <r>
    <s v="O00272"/>
    <d v="2024-10-02T00:00:00"/>
    <x v="9"/>
    <s v="C0087"/>
    <x v="10"/>
    <s v="No Campaign"/>
    <x v="1"/>
    <n v="5"/>
    <n v="0.3"/>
    <n v="1052.0999999999999"/>
    <n v="-88.85"/>
    <n v="-8.4450147324398817E-2"/>
  </r>
  <r>
    <s v="O00273"/>
    <d v="2024-08-01T00:00:00"/>
    <x v="11"/>
    <s v="C0254"/>
    <x v="11"/>
    <s v="CA002"/>
    <x v="0"/>
    <n v="5"/>
    <n v="0"/>
    <n v="1849.9"/>
    <n v="989.05"/>
    <n v="0.53465052164981886"/>
  </r>
  <r>
    <s v="O00274"/>
    <d v="2024-11-13T00:00:00"/>
    <x v="8"/>
    <s v="C0138"/>
    <x v="10"/>
    <s v="No Campaign"/>
    <x v="1"/>
    <n v="5"/>
    <n v="0"/>
    <n v="1503"/>
    <n v="362.05"/>
    <n v="0.24088489687292083"/>
  </r>
  <r>
    <s v="O00275"/>
    <d v="2024-12-27T00:00:00"/>
    <x v="5"/>
    <s v="C0226"/>
    <x v="11"/>
    <s v="CA004"/>
    <x v="0"/>
    <n v="4"/>
    <n v="0"/>
    <n v="1479.92"/>
    <n v="791.24"/>
    <n v="0.53465052164981886"/>
  </r>
  <r>
    <s v="O00276"/>
    <d v="2025-04-02T00:00:00"/>
    <x v="1"/>
    <s v="C0127"/>
    <x v="17"/>
    <s v="CA001"/>
    <x v="0"/>
    <n v="4"/>
    <n v="0.1"/>
    <n v="529.09"/>
    <n v="283.73"/>
    <n v="0.5362603715813945"/>
  </r>
  <r>
    <s v="O00277"/>
    <d v="2025-06-19T00:00:00"/>
    <x v="6"/>
    <s v="C0179"/>
    <x v="14"/>
    <s v="CA002"/>
    <x v="0"/>
    <n v="4"/>
    <n v="0"/>
    <n v="387.16"/>
    <n v="126.92"/>
    <n v="0.32782312222337018"/>
  </r>
  <r>
    <s v="O00278"/>
    <d v="2024-10-10T00:00:00"/>
    <x v="9"/>
    <s v="C0122"/>
    <x v="1"/>
    <s v="No Campaign"/>
    <x v="1"/>
    <n v="5"/>
    <n v="0.3"/>
    <n v="1423.76"/>
    <n v="42.21"/>
    <n v="2.964685059279654E-2"/>
  </r>
  <r>
    <s v="O00279"/>
    <d v="2025-03-26T00:00:00"/>
    <x v="4"/>
    <s v="C0220"/>
    <x v="6"/>
    <s v="CA003"/>
    <x v="0"/>
    <n v="2"/>
    <n v="0.05"/>
    <n v="575.41999999999996"/>
    <n v="137.04"/>
    <n v="0.23815647700809844"/>
  </r>
  <r>
    <s v="O00280"/>
    <d v="2025-05-14T00:00:00"/>
    <x v="0"/>
    <s v="C0031"/>
    <x v="26"/>
    <s v="No Campaign"/>
    <x v="1"/>
    <n v="5"/>
    <n v="0.1"/>
    <n v="2227.37"/>
    <n v="603.87"/>
    <n v="0.27111346565680605"/>
  </r>
  <r>
    <s v="O00281"/>
    <d v="2024-07-08T00:00:00"/>
    <x v="10"/>
    <s v="C0276"/>
    <x v="6"/>
    <s v="No Campaign"/>
    <x v="1"/>
    <n v="3"/>
    <n v="0.1"/>
    <n v="817.7"/>
    <n v="160.13"/>
    <n v="0.19582976641800171"/>
  </r>
  <r>
    <s v="O00282"/>
    <d v="2024-11-24T00:00:00"/>
    <x v="8"/>
    <s v="C0294"/>
    <x v="15"/>
    <s v="CA002"/>
    <x v="0"/>
    <n v="2"/>
    <n v="0.15"/>
    <n v="109.68"/>
    <n v="53.08"/>
    <n v="0.48395331874544123"/>
  </r>
  <r>
    <s v="O00283"/>
    <d v="2025-03-20T00:00:00"/>
    <x v="4"/>
    <s v="C0031"/>
    <x v="15"/>
    <s v="CA003"/>
    <x v="0"/>
    <n v="2"/>
    <n v="0.05"/>
    <n v="122.59"/>
    <n v="65.989999999999995"/>
    <n v="0.53829839301737492"/>
  </r>
  <r>
    <s v="O00284"/>
    <d v="2024-12-01T00:00:00"/>
    <x v="5"/>
    <s v="C0075"/>
    <x v="12"/>
    <s v="No Campaign"/>
    <x v="1"/>
    <n v="2"/>
    <n v="0.3"/>
    <n v="468.45"/>
    <n v="94.85"/>
    <n v="0.20247625146760592"/>
  </r>
  <r>
    <s v="O00285"/>
    <d v="2025-03-25T00:00:00"/>
    <x v="4"/>
    <s v="C0202"/>
    <x v="21"/>
    <s v="CA003"/>
    <x v="0"/>
    <n v="5"/>
    <n v="0.3"/>
    <n v="691.92"/>
    <n v="213.72"/>
    <n v="0.30887963926465489"/>
  </r>
  <r>
    <s v="O00286"/>
    <d v="2024-09-17T00:00:00"/>
    <x v="7"/>
    <s v="C0138"/>
    <x v="8"/>
    <s v="No Campaign"/>
    <x v="1"/>
    <n v="4"/>
    <n v="0.15"/>
    <n v="1409.2"/>
    <n v="212.2"/>
    <n v="0.15058189043428893"/>
  </r>
  <r>
    <s v="O00287"/>
    <d v="2025-06-07T00:00:00"/>
    <x v="6"/>
    <s v="C0039"/>
    <x v="8"/>
    <s v="CA002"/>
    <x v="0"/>
    <n v="4"/>
    <n v="0.2"/>
    <n v="1326.3"/>
    <n v="129.30000000000001"/>
    <n v="9.7489255824474111E-2"/>
  </r>
  <r>
    <s v="O00288"/>
    <d v="2025-03-01T00:00:00"/>
    <x v="4"/>
    <s v="C0143"/>
    <x v="12"/>
    <s v="No Campaign"/>
    <x v="1"/>
    <n v="4"/>
    <n v="0.15"/>
    <n v="1137.67"/>
    <n v="390.47"/>
    <n v="0.34321903539690773"/>
  </r>
  <r>
    <s v="O00289"/>
    <d v="2025-05-13T00:00:00"/>
    <x v="0"/>
    <s v="C0168"/>
    <x v="26"/>
    <s v="CA001"/>
    <x v="0"/>
    <n v="1"/>
    <n v="0.3"/>
    <n v="346.48"/>
    <n v="21.78"/>
    <n v="6.2860771184483952E-2"/>
  </r>
  <r>
    <s v="O00290"/>
    <d v="2025-04-15T00:00:00"/>
    <x v="1"/>
    <s v="C0235"/>
    <x v="8"/>
    <s v="No Campaign"/>
    <x v="1"/>
    <n v="1"/>
    <n v="0.2"/>
    <n v="331.58"/>
    <n v="32.33"/>
    <n v="9.7502865070269618E-2"/>
  </r>
  <r>
    <s v="O00291"/>
    <d v="2024-12-23T00:00:00"/>
    <x v="5"/>
    <s v="C0204"/>
    <x v="1"/>
    <s v="No Campaign"/>
    <x v="1"/>
    <n v="2"/>
    <n v="0.15"/>
    <n v="691.54"/>
    <n v="138.91999999999999"/>
    <n v="0.20088498134598143"/>
  </r>
  <r>
    <s v="O00292"/>
    <d v="2025-06-27T00:00:00"/>
    <x v="6"/>
    <s v="C0138"/>
    <x v="27"/>
    <s v="CA005"/>
    <x v="0"/>
    <n v="3"/>
    <n v="0.2"/>
    <n v="191.81"/>
    <n v="7.46"/>
    <n v="3.889265418904124E-2"/>
  </r>
  <r>
    <s v="O00293"/>
    <d v="2025-04-25T00:00:00"/>
    <x v="1"/>
    <s v="C0296"/>
    <x v="29"/>
    <s v="No Campaign"/>
    <x v="1"/>
    <n v="3"/>
    <n v="0.3"/>
    <n v="697.07"/>
    <n v="81.680000000000007"/>
    <n v="0.1171761802975311"/>
  </r>
  <r>
    <s v="O00294"/>
    <d v="2024-10-12T00:00:00"/>
    <x v="9"/>
    <s v="C0025"/>
    <x v="13"/>
    <s v="CA002"/>
    <x v="0"/>
    <n v="4"/>
    <n v="0"/>
    <n v="276.8"/>
    <n v="84.08"/>
    <n v="0.30375722543352601"/>
  </r>
  <r>
    <s v="O00295"/>
    <d v="2025-04-24T00:00:00"/>
    <x v="1"/>
    <s v="C0064"/>
    <x v="25"/>
    <s v="CA003"/>
    <x v="0"/>
    <n v="4"/>
    <n v="0.15"/>
    <n v="1472.78"/>
    <n v="771.74"/>
    <n v="0.52400222708075883"/>
  </r>
  <r>
    <s v="O00296"/>
    <d v="2025-03-16T00:00:00"/>
    <x v="4"/>
    <s v="C0001"/>
    <x v="2"/>
    <s v="CA004"/>
    <x v="0"/>
    <n v="2"/>
    <n v="0.3"/>
    <n v="222.47"/>
    <n v="85.19"/>
    <n v="0.38292803524070662"/>
  </r>
  <r>
    <s v="O00297"/>
    <d v="2025-01-25T00:00:00"/>
    <x v="3"/>
    <s v="C0155"/>
    <x v="6"/>
    <s v="CA005"/>
    <x v="0"/>
    <n v="1"/>
    <n v="0.3"/>
    <n v="212"/>
    <n v="-7.19"/>
    <n v="-3.3915094339622642E-2"/>
  </r>
  <r>
    <s v="O00298"/>
    <d v="2025-05-25T00:00:00"/>
    <x v="0"/>
    <s v="C0185"/>
    <x v="15"/>
    <s v="CA002"/>
    <x v="0"/>
    <n v="3"/>
    <n v="0.3"/>
    <n v="135.49"/>
    <n v="50.59"/>
    <n v="0.37338548970403718"/>
  </r>
  <r>
    <s v="O00299"/>
    <d v="2024-08-21T00:00:00"/>
    <x v="11"/>
    <s v="C0085"/>
    <x v="13"/>
    <s v="No Campaign"/>
    <x v="1"/>
    <n v="3"/>
    <n v="0.3"/>
    <n v="145.32"/>
    <n v="0.78"/>
    <n v="5.3674649050371595E-3"/>
  </r>
  <r>
    <s v="O00300"/>
    <d v="2024-08-19T00:00:00"/>
    <x v="11"/>
    <s v="C0120"/>
    <x v="2"/>
    <s v="CA002"/>
    <x v="0"/>
    <n v="1"/>
    <n v="0"/>
    <n v="158.91"/>
    <n v="90.27"/>
    <n v="0.56805739097602415"/>
  </r>
  <r>
    <s v="O00301"/>
    <d v="2025-05-10T00:00:00"/>
    <x v="0"/>
    <s v="C0110"/>
    <x v="21"/>
    <s v="CA002"/>
    <x v="0"/>
    <n v="2"/>
    <n v="0.2"/>
    <n v="316.3"/>
    <n v="125.02"/>
    <n v="0.39525766677205182"/>
  </r>
  <r>
    <s v="O00302"/>
    <d v="2024-08-27T00:00:00"/>
    <x v="11"/>
    <s v="C0116"/>
    <x v="7"/>
    <s v="No Campaign"/>
    <x v="1"/>
    <n v="1"/>
    <n v="0"/>
    <n v="469.59"/>
    <n v="160.03"/>
    <n v="0.34078664366788053"/>
  </r>
  <r>
    <s v="O00303"/>
    <d v="2024-11-12T00:00:00"/>
    <x v="8"/>
    <s v="C0176"/>
    <x v="23"/>
    <s v="CA002"/>
    <x v="0"/>
    <n v="4"/>
    <n v="0.3"/>
    <n v="1071.78"/>
    <n v="-68.06"/>
    <n v="-6.3501838063781749E-2"/>
  </r>
  <r>
    <s v="O00304"/>
    <d v="2025-02-15T00:00:00"/>
    <x v="2"/>
    <s v="C0068"/>
    <x v="21"/>
    <s v="CA002"/>
    <x v="0"/>
    <n v="2"/>
    <n v="0.15"/>
    <n v="336.07"/>
    <n v="144.79"/>
    <n v="0.4308328622013271"/>
  </r>
  <r>
    <s v="O00305"/>
    <d v="2025-05-25T00:00:00"/>
    <x v="0"/>
    <s v="C0046"/>
    <x v="18"/>
    <s v="CA002"/>
    <x v="0"/>
    <n v="1"/>
    <n v="0.1"/>
    <n v="132.43"/>
    <n v="59.06"/>
    <n v="0.44597145661859094"/>
  </r>
  <r>
    <s v="O00306"/>
    <d v="2025-02-12T00:00:00"/>
    <x v="2"/>
    <s v="C0189"/>
    <x v="24"/>
    <s v="CA005"/>
    <x v="0"/>
    <n v="2"/>
    <n v="0.15"/>
    <n v="345.41"/>
    <n v="20.95"/>
    <n v="6.0652557829825419E-2"/>
  </r>
  <r>
    <s v="O00307"/>
    <d v="2025-05-18T00:00:00"/>
    <x v="0"/>
    <s v="C0069"/>
    <x v="8"/>
    <s v="CA003"/>
    <x v="0"/>
    <n v="1"/>
    <n v="0.2"/>
    <n v="331.58"/>
    <n v="32.33"/>
    <n v="9.7502865070269618E-2"/>
  </r>
  <r>
    <s v="O00308"/>
    <d v="2024-10-30T00:00:00"/>
    <x v="9"/>
    <s v="C0289"/>
    <x v="5"/>
    <s v="CA003"/>
    <x v="0"/>
    <n v="4"/>
    <n v="0.1"/>
    <n v="1353.38"/>
    <n v="604.58000000000004"/>
    <n v="0.44671858605860881"/>
  </r>
  <r>
    <s v="O00309"/>
    <d v="2024-07-31T00:00:00"/>
    <x v="10"/>
    <s v="C0110"/>
    <x v="8"/>
    <s v="CA003"/>
    <x v="0"/>
    <n v="4"/>
    <n v="0.2"/>
    <n v="1326.3"/>
    <n v="129.30000000000001"/>
    <n v="9.7489255824474111E-2"/>
  </r>
  <r>
    <s v="O00310"/>
    <d v="2025-05-11T00:00:00"/>
    <x v="0"/>
    <s v="C0227"/>
    <x v="14"/>
    <s v="CA004"/>
    <x v="0"/>
    <n v="1"/>
    <n v="0"/>
    <n v="96.79"/>
    <n v="31.73"/>
    <n v="0.32782312222337018"/>
  </r>
  <r>
    <s v="O00311"/>
    <d v="2025-01-30T00:00:00"/>
    <x v="3"/>
    <s v="C0072"/>
    <x v="10"/>
    <s v="CA002"/>
    <x v="0"/>
    <n v="5"/>
    <n v="0.3"/>
    <n v="1052.0999999999999"/>
    <n v="-88.85"/>
    <n v="-8.4450147324398817E-2"/>
  </r>
  <r>
    <s v="O00312"/>
    <d v="2025-01-07T00:00:00"/>
    <x v="3"/>
    <s v="C0197"/>
    <x v="9"/>
    <s v="No Campaign"/>
    <x v="1"/>
    <n v="3"/>
    <n v="0.05"/>
    <n v="458.08"/>
    <n v="143.94999999999999"/>
    <n v="0.31424641983932938"/>
  </r>
  <r>
    <s v="O00313"/>
    <d v="2024-08-27T00:00:00"/>
    <x v="11"/>
    <s v="C0127"/>
    <x v="15"/>
    <s v="CA002"/>
    <x v="0"/>
    <n v="2"/>
    <n v="0.2"/>
    <n v="103.23"/>
    <n v="46.63"/>
    <n v="0.45170977429041947"/>
  </r>
  <r>
    <s v="O00314"/>
    <d v="2025-03-17T00:00:00"/>
    <x v="4"/>
    <s v="C0146"/>
    <x v="10"/>
    <s v="CA001"/>
    <x v="0"/>
    <n v="3"/>
    <n v="0.05"/>
    <n v="856.71"/>
    <n v="172.14"/>
    <n v="0.20093147039254822"/>
  </r>
  <r>
    <s v="O00315"/>
    <d v="2025-06-01T00:00:00"/>
    <x v="6"/>
    <s v="C0266"/>
    <x v="16"/>
    <s v="CA004"/>
    <x v="0"/>
    <n v="4"/>
    <n v="0.1"/>
    <n v="632.38"/>
    <n v="135.38"/>
    <n v="0.21408014168696038"/>
  </r>
  <r>
    <s v="O00316"/>
    <d v="2024-10-21T00:00:00"/>
    <x v="9"/>
    <s v="C0028"/>
    <x v="22"/>
    <s v="CA004"/>
    <x v="0"/>
    <n v="4"/>
    <n v="0.15"/>
    <n v="425.92"/>
    <n v="25.56"/>
    <n v="6.0011269722013517E-2"/>
  </r>
  <r>
    <s v="O00317"/>
    <d v="2024-10-29T00:00:00"/>
    <x v="9"/>
    <s v="C0058"/>
    <x v="20"/>
    <s v="No Campaign"/>
    <x v="1"/>
    <n v="5"/>
    <n v="0"/>
    <n v="473.15"/>
    <n v="102.75"/>
    <n v="0.21716157666701894"/>
  </r>
  <r>
    <s v="O00318"/>
    <d v="2024-07-16T00:00:00"/>
    <x v="10"/>
    <s v="C0271"/>
    <x v="24"/>
    <s v="CA001"/>
    <x v="0"/>
    <n v="3"/>
    <n v="0.1"/>
    <n v="548.59"/>
    <n v="61.9"/>
    <n v="0.11283472174119104"/>
  </r>
  <r>
    <s v="O00319"/>
    <d v="2025-01-19T00:00:00"/>
    <x v="3"/>
    <s v="C0068"/>
    <x v="28"/>
    <s v="No Campaign"/>
    <x v="1"/>
    <n v="3"/>
    <n v="0.2"/>
    <n v="269.52"/>
    <n v="125.4"/>
    <n v="0.46527159394479078"/>
  </r>
  <r>
    <s v="O00320"/>
    <d v="2024-10-08T00:00:00"/>
    <x v="9"/>
    <s v="C0089"/>
    <x v="10"/>
    <s v="No Campaign"/>
    <x v="1"/>
    <n v="1"/>
    <n v="0"/>
    <n v="300.60000000000002"/>
    <n v="72.41"/>
    <n v="0.24088489687292081"/>
  </r>
  <r>
    <s v="O00321"/>
    <d v="2024-10-18T00:00:00"/>
    <x v="9"/>
    <s v="C0035"/>
    <x v="5"/>
    <s v="CA005"/>
    <x v="0"/>
    <n v="2"/>
    <n v="0"/>
    <n v="751.88"/>
    <n v="377.48"/>
    <n v="0.5020481991807203"/>
  </r>
  <r>
    <s v="O00322"/>
    <d v="2025-02-04T00:00:00"/>
    <x v="2"/>
    <s v="C0031"/>
    <x v="22"/>
    <s v="No Campaign"/>
    <x v="1"/>
    <n v="5"/>
    <n v="0.1"/>
    <n v="563.72"/>
    <n v="63.27"/>
    <n v="0.11223657134747747"/>
  </r>
  <r>
    <s v="O00323"/>
    <d v="2025-06-24T00:00:00"/>
    <x v="6"/>
    <s v="C0257"/>
    <x v="10"/>
    <s v="No Campaign"/>
    <x v="1"/>
    <n v="4"/>
    <n v="0.3"/>
    <n v="841.68"/>
    <n v="-71.08"/>
    <n v="-8.445014732439883E-2"/>
  </r>
  <r>
    <s v="O00324"/>
    <d v="2024-12-22T00:00:00"/>
    <x v="5"/>
    <s v="C0206"/>
    <x v="4"/>
    <s v="CA003"/>
    <x v="0"/>
    <n v="3"/>
    <n v="0"/>
    <n v="667.56"/>
    <n v="392.58"/>
    <n v="0.58808197015998565"/>
  </r>
  <r>
    <s v="O00325"/>
    <d v="2024-10-16T00:00:00"/>
    <x v="9"/>
    <s v="C0159"/>
    <x v="4"/>
    <s v="CA004"/>
    <x v="0"/>
    <n v="2"/>
    <n v="0.2"/>
    <n v="356.03"/>
    <n v="172.71"/>
    <n v="0.48509957026093314"/>
  </r>
  <r>
    <s v="O00326"/>
    <d v="2025-02-04T00:00:00"/>
    <x v="2"/>
    <s v="C0168"/>
    <x v="28"/>
    <s v="CA002"/>
    <x v="0"/>
    <n v="3"/>
    <n v="0.3"/>
    <n v="235.83"/>
    <n v="91.71"/>
    <n v="0.3888818216511894"/>
  </r>
  <r>
    <s v="O00327"/>
    <d v="2025-01-07T00:00:00"/>
    <x v="3"/>
    <s v="C0224"/>
    <x v="18"/>
    <s v="CA004"/>
    <x v="0"/>
    <n v="1"/>
    <n v="0.05"/>
    <n v="139.78"/>
    <n v="66.41"/>
    <n v="0.475103734439834"/>
  </r>
  <r>
    <s v="O00328"/>
    <d v="2024-12-30T00:00:00"/>
    <x v="5"/>
    <s v="C0045"/>
    <x v="25"/>
    <s v="No Campaign"/>
    <x v="1"/>
    <n v="1"/>
    <n v="0.15"/>
    <n v="368.19"/>
    <n v="192.93"/>
    <n v="0.52399576305711726"/>
  </r>
  <r>
    <s v="O00329"/>
    <d v="2024-12-10T00:00:00"/>
    <x v="5"/>
    <s v="C0029"/>
    <x v="17"/>
    <s v="CA003"/>
    <x v="0"/>
    <n v="1"/>
    <n v="0"/>
    <n v="146.97"/>
    <n v="85.63"/>
    <n v="0.58263591209090293"/>
  </r>
  <r>
    <s v="O00330"/>
    <d v="2025-01-17T00:00:00"/>
    <x v="3"/>
    <s v="C0071"/>
    <x v="12"/>
    <s v="CA001"/>
    <x v="0"/>
    <n v="2"/>
    <n v="0.15"/>
    <n v="568.84"/>
    <n v="195.24"/>
    <n v="0.34322480838197034"/>
  </r>
  <r>
    <s v="O00331"/>
    <d v="2024-12-12T00:00:00"/>
    <x v="5"/>
    <s v="C0178"/>
    <x v="7"/>
    <s v="CA005"/>
    <x v="0"/>
    <n v="2"/>
    <n v="0.1"/>
    <n v="845.26"/>
    <n v="226.14"/>
    <n v="0.26753898208835147"/>
  </r>
  <r>
    <s v="O00332"/>
    <d v="2024-08-16T00:00:00"/>
    <x v="11"/>
    <s v="C0065"/>
    <x v="18"/>
    <s v="CA005"/>
    <x v="0"/>
    <n v="1"/>
    <n v="0"/>
    <n v="147.13999999999999"/>
    <n v="73.77"/>
    <n v="0.50135924969416878"/>
  </r>
  <r>
    <s v="O00333"/>
    <d v="2024-06-30T00:00:00"/>
    <x v="12"/>
    <s v="C0172"/>
    <x v="22"/>
    <s v="No Campaign"/>
    <x v="1"/>
    <n v="3"/>
    <n v="0.2"/>
    <n v="300.64999999999998"/>
    <n v="0.38"/>
    <n v="1.2639281556627309E-3"/>
  </r>
  <r>
    <s v="O00334"/>
    <d v="2025-02-03T00:00:00"/>
    <x v="2"/>
    <s v="C0033"/>
    <x v="15"/>
    <s v="CA002"/>
    <x v="0"/>
    <n v="4"/>
    <n v="0.15"/>
    <n v="219.37"/>
    <n v="106.17"/>
    <n v="0.48397684277704334"/>
  </r>
  <r>
    <s v="O00335"/>
    <d v="2025-05-14T00:00:00"/>
    <x v="0"/>
    <s v="C0262"/>
    <x v="9"/>
    <s v="CA001"/>
    <x v="0"/>
    <n v="4"/>
    <n v="0.2"/>
    <n v="514.34"/>
    <n v="95.5"/>
    <n v="0.18567484543298207"/>
  </r>
  <r>
    <s v="O00336"/>
    <d v="2024-07-28T00:00:00"/>
    <x v="10"/>
    <s v="C0086"/>
    <x v="9"/>
    <s v="CA003"/>
    <x v="0"/>
    <n v="3"/>
    <n v="0"/>
    <n v="482.19"/>
    <n v="168.06"/>
    <n v="0.34853480992969577"/>
  </r>
  <r>
    <s v="O00337"/>
    <d v="2025-06-18T00:00:00"/>
    <x v="6"/>
    <s v="C0294"/>
    <x v="19"/>
    <s v="CA002"/>
    <x v="0"/>
    <n v="2"/>
    <n v="0.3"/>
    <n v="72.48"/>
    <n v="-6.76"/>
    <n v="-9.326710816777041E-2"/>
  </r>
  <r>
    <s v="O00338"/>
    <d v="2024-11-06T00:00:00"/>
    <x v="8"/>
    <s v="C0261"/>
    <x v="5"/>
    <s v="CA001"/>
    <x v="0"/>
    <n v="1"/>
    <n v="0.05"/>
    <n v="357.14"/>
    <n v="169.94"/>
    <n v="0.47583580668645348"/>
  </r>
  <r>
    <s v="O00339"/>
    <d v="2024-07-20T00:00:00"/>
    <x v="10"/>
    <s v="C0024"/>
    <x v="21"/>
    <s v="No Campaign"/>
    <x v="1"/>
    <n v="4"/>
    <n v="0.05"/>
    <n v="751.22"/>
    <n v="368.66"/>
    <n v="0.49074838263092041"/>
  </r>
  <r>
    <s v="O00340"/>
    <d v="2024-09-02T00:00:00"/>
    <x v="7"/>
    <s v="C0092"/>
    <x v="25"/>
    <s v="CA001"/>
    <x v="0"/>
    <n v="5"/>
    <n v="0.3"/>
    <n v="1516.09"/>
    <n v="639.79"/>
    <n v="0.422000013191829"/>
  </r>
  <r>
    <s v="O00341"/>
    <d v="2025-02-06T00:00:00"/>
    <x v="2"/>
    <s v="C0215"/>
    <x v="20"/>
    <s v="No Campaign"/>
    <x v="1"/>
    <n v="2"/>
    <n v="0.15"/>
    <n v="160.87"/>
    <n v="12.71"/>
    <n v="7.9007894573257909E-2"/>
  </r>
  <r>
    <s v="O00342"/>
    <d v="2024-11-27T00:00:00"/>
    <x v="8"/>
    <s v="C0164"/>
    <x v="15"/>
    <s v="CA002"/>
    <x v="0"/>
    <n v="5"/>
    <n v="0.1"/>
    <n v="290.33999999999997"/>
    <n v="148.84"/>
    <n v="0.51264035268994979"/>
  </r>
  <r>
    <s v="O00343"/>
    <d v="2024-08-13T00:00:00"/>
    <x v="11"/>
    <s v="C0062"/>
    <x v="7"/>
    <s v="CA001"/>
    <x v="0"/>
    <n v="2"/>
    <n v="0.05"/>
    <n v="892.22"/>
    <n v="273.10000000000002"/>
    <n v="0.30609042612808501"/>
  </r>
  <r>
    <s v="O00344"/>
    <d v="2025-05-09T00:00:00"/>
    <x v="0"/>
    <s v="C0265"/>
    <x v="13"/>
    <s v="No Campaign"/>
    <x v="1"/>
    <n v="1"/>
    <n v="0.15"/>
    <n v="58.82"/>
    <n v="10.64"/>
    <n v="0.18089085345120709"/>
  </r>
  <r>
    <s v="O00345"/>
    <d v="2025-04-19T00:00:00"/>
    <x v="1"/>
    <s v="C0145"/>
    <x v="10"/>
    <s v="CA005"/>
    <x v="0"/>
    <n v="3"/>
    <n v="0"/>
    <n v="901.8"/>
    <n v="217.23"/>
    <n v="0.24088489687292083"/>
  </r>
  <r>
    <s v="O00346"/>
    <d v="2025-05-07T00:00:00"/>
    <x v="0"/>
    <s v="C0284"/>
    <x v="0"/>
    <s v="CA001"/>
    <x v="0"/>
    <n v="3"/>
    <n v="0.05"/>
    <n v="577.01"/>
    <n v="223.91"/>
    <n v="0.38805220013517966"/>
  </r>
  <r>
    <s v="O00347"/>
    <d v="2025-05-07T00:00:00"/>
    <x v="0"/>
    <s v="C0150"/>
    <x v="26"/>
    <s v="CA005"/>
    <x v="0"/>
    <n v="5"/>
    <n v="0.05"/>
    <n v="2351.11"/>
    <n v="727.61"/>
    <n v="0.30947509899579345"/>
  </r>
  <r>
    <s v="O00348"/>
    <d v="2024-07-13T00:00:00"/>
    <x v="10"/>
    <s v="C0238"/>
    <x v="9"/>
    <s v="No Campaign"/>
    <x v="1"/>
    <n v="2"/>
    <n v="0.3"/>
    <n v="225.02"/>
    <n v="15.6"/>
    <n v="6.9327170918140599E-2"/>
  </r>
  <r>
    <s v="O00349"/>
    <d v="2024-07-31T00:00:00"/>
    <x v="10"/>
    <s v="C0280"/>
    <x v="10"/>
    <s v="CA004"/>
    <x v="0"/>
    <n v="2"/>
    <n v="0"/>
    <n v="601.20000000000005"/>
    <n v="144.82"/>
    <n v="0.24088489687292081"/>
  </r>
  <r>
    <s v="O00350"/>
    <d v="2024-07-09T00:00:00"/>
    <x v="10"/>
    <s v="C0210"/>
    <x v="5"/>
    <s v="CA004"/>
    <x v="0"/>
    <n v="5"/>
    <n v="0.1"/>
    <n v="1691.73"/>
    <n v="755.73"/>
    <n v="0.44672022131191147"/>
  </r>
  <r>
    <s v="O00351"/>
    <d v="2025-01-06T00:00:00"/>
    <x v="3"/>
    <s v="C0005"/>
    <x v="27"/>
    <s v="CA001"/>
    <x v="0"/>
    <n v="4"/>
    <n v="0.3"/>
    <n v="223.78"/>
    <n v="-22.02"/>
    <n v="-9.8400214496380367E-2"/>
  </r>
  <r>
    <s v="O00352"/>
    <d v="2025-04-30T00:00:00"/>
    <x v="1"/>
    <s v="C0158"/>
    <x v="3"/>
    <s v="CA004"/>
    <x v="0"/>
    <n v="5"/>
    <n v="0.05"/>
    <n v="1247.21"/>
    <n v="708.11"/>
    <n v="0.56775522967262926"/>
  </r>
  <r>
    <s v="O00353"/>
    <d v="2024-08-05T00:00:00"/>
    <x v="11"/>
    <s v="C0215"/>
    <x v="21"/>
    <s v="CA001"/>
    <x v="0"/>
    <n v="2"/>
    <n v="0.3"/>
    <n v="276.77"/>
    <n v="85.49"/>
    <n v="0.30888463345015715"/>
  </r>
  <r>
    <s v="O00354"/>
    <d v="2025-01-05T00:00:00"/>
    <x v="3"/>
    <s v="C0144"/>
    <x v="4"/>
    <s v="CA001"/>
    <x v="0"/>
    <n v="2"/>
    <n v="0.2"/>
    <n v="356.03"/>
    <n v="172.71"/>
    <n v="0.48509957026093314"/>
  </r>
  <r>
    <s v="O00355"/>
    <d v="2024-09-19T00:00:00"/>
    <x v="7"/>
    <s v="C0212"/>
    <x v="12"/>
    <s v="No Campaign"/>
    <x v="1"/>
    <n v="4"/>
    <n v="0.3"/>
    <n v="936.91"/>
    <n v="189.71"/>
    <n v="0.20248476374464999"/>
  </r>
  <r>
    <s v="O00356"/>
    <d v="2025-03-06T00:00:00"/>
    <x v="4"/>
    <s v="C0044"/>
    <x v="26"/>
    <s v="CA002"/>
    <x v="0"/>
    <n v="5"/>
    <n v="0.05"/>
    <n v="2351.11"/>
    <n v="727.61"/>
    <n v="0.30947509899579345"/>
  </r>
  <r>
    <s v="O00357"/>
    <d v="2024-12-26T00:00:00"/>
    <x v="5"/>
    <s v="C0202"/>
    <x v="4"/>
    <s v="CA001"/>
    <x v="0"/>
    <n v="4"/>
    <n v="0.3"/>
    <n v="623.05999999999995"/>
    <n v="256.42"/>
    <n v="0.4115494494912208"/>
  </r>
  <r>
    <s v="O00358"/>
    <d v="2025-06-08T00:00:00"/>
    <x v="6"/>
    <s v="C0067"/>
    <x v="20"/>
    <s v="CA005"/>
    <x v="0"/>
    <n v="3"/>
    <n v="0.1"/>
    <n v="255.5"/>
    <n v="33.26"/>
    <n v="0.13017612524461838"/>
  </r>
  <r>
    <s v="O00359"/>
    <d v="2024-10-03T00:00:00"/>
    <x v="9"/>
    <s v="C0202"/>
    <x v="12"/>
    <s v="No Campaign"/>
    <x v="1"/>
    <n v="3"/>
    <n v="0.15"/>
    <n v="853.26"/>
    <n v="292.86"/>
    <n v="0.34322480838197034"/>
  </r>
  <r>
    <s v="O00360"/>
    <d v="2024-08-30T00:00:00"/>
    <x v="11"/>
    <s v="C0140"/>
    <x v="20"/>
    <s v="CA002"/>
    <x v="0"/>
    <n v="2"/>
    <n v="0.05"/>
    <n v="179.8"/>
    <n v="31.64"/>
    <n v="0.17597330367074526"/>
  </r>
  <r>
    <s v="O00361"/>
    <d v="2024-12-17T00:00:00"/>
    <x v="5"/>
    <s v="C0300"/>
    <x v="3"/>
    <s v="CA003"/>
    <x v="0"/>
    <n v="1"/>
    <n v="0.05"/>
    <n v="249.44"/>
    <n v="141.62"/>
    <n v="0.56775176395125082"/>
  </r>
  <r>
    <s v="O00362"/>
    <d v="2025-01-05T00:00:00"/>
    <x v="3"/>
    <s v="C0231"/>
    <x v="0"/>
    <s v="No Campaign"/>
    <x v="1"/>
    <n v="4"/>
    <n v="0"/>
    <n v="809.84"/>
    <n v="339.04"/>
    <n v="0.41865059764891832"/>
  </r>
  <r>
    <s v="O00363"/>
    <d v="2024-09-21T00:00:00"/>
    <x v="7"/>
    <s v="C0275"/>
    <x v="9"/>
    <s v="CA004"/>
    <x v="0"/>
    <n v="4"/>
    <n v="0.1"/>
    <n v="578.63"/>
    <n v="159.79"/>
    <n v="0.27615229075575065"/>
  </r>
  <r>
    <s v="O00364"/>
    <d v="2024-08-15T00:00:00"/>
    <x v="11"/>
    <s v="C0238"/>
    <x v="15"/>
    <s v="CA002"/>
    <x v="0"/>
    <n v="1"/>
    <n v="0.05"/>
    <n v="61.29"/>
    <n v="32.99"/>
    <n v="0.53826072768804045"/>
  </r>
  <r>
    <s v="O00365"/>
    <d v="2025-04-21T00:00:00"/>
    <x v="1"/>
    <s v="C0156"/>
    <x v="23"/>
    <s v="CA001"/>
    <x v="0"/>
    <n v="2"/>
    <n v="0.1"/>
    <n v="689"/>
    <n v="119.08"/>
    <n v="0.17283018867924527"/>
  </r>
  <r>
    <s v="O00366"/>
    <d v="2025-06-06T00:00:00"/>
    <x v="6"/>
    <s v="C0076"/>
    <x v="4"/>
    <s v="CA004"/>
    <x v="0"/>
    <n v="3"/>
    <n v="0.15"/>
    <n v="567.42999999999995"/>
    <n v="292.45"/>
    <n v="0.515393969300178"/>
  </r>
  <r>
    <s v="O00367"/>
    <d v="2025-01-19T00:00:00"/>
    <x v="3"/>
    <s v="C0263"/>
    <x v="13"/>
    <s v="CA005"/>
    <x v="0"/>
    <n v="3"/>
    <n v="0.05"/>
    <n v="197.22"/>
    <n v="52.68"/>
    <n v="0.26711286887739583"/>
  </r>
  <r>
    <s v="O00368"/>
    <d v="2024-09-01T00:00:00"/>
    <x v="7"/>
    <s v="C0016"/>
    <x v="28"/>
    <s v="No Campaign"/>
    <x v="1"/>
    <n v="5"/>
    <n v="0.3"/>
    <n v="393.05"/>
    <n v="152.85"/>
    <n v="0.3888818216511894"/>
  </r>
  <r>
    <s v="O00369"/>
    <d v="2025-06-04T00:00:00"/>
    <x v="6"/>
    <s v="C0282"/>
    <x v="20"/>
    <s v="CA002"/>
    <x v="0"/>
    <n v="4"/>
    <n v="0"/>
    <n v="378.52"/>
    <n v="82.2"/>
    <n v="0.21716157666701894"/>
  </r>
  <r>
    <s v="O00370"/>
    <d v="2025-01-27T00:00:00"/>
    <x v="3"/>
    <s v="C0072"/>
    <x v="3"/>
    <s v="CA001"/>
    <x v="0"/>
    <n v="1"/>
    <n v="0.05"/>
    <n v="249.44"/>
    <n v="141.62"/>
    <n v="0.56775176395125082"/>
  </r>
  <r>
    <s v="O00371"/>
    <d v="2025-05-17T00:00:00"/>
    <x v="0"/>
    <s v="C0067"/>
    <x v="1"/>
    <s v="No Campaign"/>
    <x v="1"/>
    <n v="3"/>
    <n v="0.3"/>
    <n v="854.26"/>
    <n v="25.33"/>
    <n v="2.9651394189122746E-2"/>
  </r>
  <r>
    <s v="O00372"/>
    <d v="2025-03-27T00:00:00"/>
    <x v="4"/>
    <s v="C0044"/>
    <x v="26"/>
    <s v="CA005"/>
    <x v="0"/>
    <n v="1"/>
    <n v="0"/>
    <n v="494.97"/>
    <n v="170.27"/>
    <n v="0.3440006465038285"/>
  </r>
  <r>
    <s v="O00373"/>
    <d v="2024-10-25T00:00:00"/>
    <x v="9"/>
    <s v="C0034"/>
    <x v="1"/>
    <s v="No Campaign"/>
    <x v="1"/>
    <n v="2"/>
    <n v="0"/>
    <n v="813.58"/>
    <n v="260.95999999999998"/>
    <n v="0.32075518080582116"/>
  </r>
  <r>
    <s v="O00374"/>
    <d v="2025-05-25T00:00:00"/>
    <x v="0"/>
    <s v="C0170"/>
    <x v="3"/>
    <s v="CA001"/>
    <x v="0"/>
    <n v="4"/>
    <n v="0"/>
    <n v="1050.28"/>
    <n v="619"/>
    <n v="0.58936664508512016"/>
  </r>
  <r>
    <s v="O00375"/>
    <d v="2024-07-17T00:00:00"/>
    <x v="10"/>
    <s v="C0087"/>
    <x v="25"/>
    <s v="No Campaign"/>
    <x v="1"/>
    <n v="4"/>
    <n v="0.15"/>
    <n v="1472.78"/>
    <n v="771.74"/>
    <n v="0.52400222708075883"/>
  </r>
  <r>
    <s v="O00376"/>
    <d v="2024-07-24T00:00:00"/>
    <x v="10"/>
    <s v="C0016"/>
    <x v="28"/>
    <s v="No Campaign"/>
    <x v="1"/>
    <n v="2"/>
    <n v="0.1"/>
    <n v="202.14"/>
    <n v="106.06"/>
    <n v="0.52468586128425854"/>
  </r>
  <r>
    <s v="O00377"/>
    <d v="2025-05-28T00:00:00"/>
    <x v="0"/>
    <s v="C0110"/>
    <x v="25"/>
    <s v="CA003"/>
    <x v="0"/>
    <n v="3"/>
    <n v="0.1"/>
    <n v="1169.56"/>
    <n v="643.78"/>
    <n v="0.55044632169362839"/>
  </r>
  <r>
    <s v="O00378"/>
    <d v="2025-01-21T00:00:00"/>
    <x v="3"/>
    <s v="C0229"/>
    <x v="24"/>
    <s v="CA003"/>
    <x v="0"/>
    <n v="1"/>
    <n v="0.2"/>
    <n v="162.54"/>
    <n v="0.31"/>
    <n v="1.9072228374553957E-3"/>
  </r>
  <r>
    <s v="O00379"/>
    <d v="2024-07-10T00:00:00"/>
    <x v="10"/>
    <s v="C0126"/>
    <x v="8"/>
    <s v="CA005"/>
    <x v="0"/>
    <n v="4"/>
    <n v="0.15"/>
    <n v="1409.2"/>
    <n v="212.2"/>
    <n v="0.15058189043428893"/>
  </r>
  <r>
    <s v="O00380"/>
    <d v="2025-02-15T00:00:00"/>
    <x v="2"/>
    <s v="C0282"/>
    <x v="21"/>
    <s v="CA001"/>
    <x v="0"/>
    <n v="1"/>
    <n v="0.1"/>
    <n v="177.92"/>
    <n v="82.28"/>
    <n v="0.46245503597122306"/>
  </r>
  <r>
    <s v="O00381"/>
    <d v="2025-05-24T00:00:00"/>
    <x v="0"/>
    <s v="C0197"/>
    <x v="29"/>
    <s v="No Campaign"/>
    <x v="1"/>
    <n v="2"/>
    <n v="0.3"/>
    <n v="464.72"/>
    <n v="54.46"/>
    <n v="0.11718884489585125"/>
  </r>
  <r>
    <s v="O00382"/>
    <d v="2025-05-02T00:00:00"/>
    <x v="0"/>
    <s v="C0270"/>
    <x v="20"/>
    <s v="CA001"/>
    <x v="0"/>
    <n v="4"/>
    <n v="0.3"/>
    <n v="264.95999999999998"/>
    <n v="-31.36"/>
    <n v="-0.11835748792270533"/>
  </r>
  <r>
    <s v="O00383"/>
    <d v="2025-04-28T00:00:00"/>
    <x v="1"/>
    <s v="C0184"/>
    <x v="21"/>
    <s v="No Campaign"/>
    <x v="1"/>
    <n v="3"/>
    <n v="0.2"/>
    <n v="474.46"/>
    <n v="187.54"/>
    <n v="0.39527041267967794"/>
  </r>
  <r>
    <s v="O00384"/>
    <d v="2024-12-27T00:00:00"/>
    <x v="5"/>
    <s v="C0258"/>
    <x v="27"/>
    <s v="No Campaign"/>
    <x v="1"/>
    <n v="3"/>
    <n v="0.05"/>
    <n v="227.77"/>
    <n v="43.42"/>
    <n v="0.19063089959169338"/>
  </r>
  <r>
    <s v="O00385"/>
    <d v="2024-09-23T00:00:00"/>
    <x v="7"/>
    <s v="C0014"/>
    <x v="27"/>
    <s v="CA004"/>
    <x v="0"/>
    <n v="1"/>
    <n v="0.1"/>
    <n v="71.930000000000007"/>
    <n v="10.48"/>
    <n v="0.14569720561657165"/>
  </r>
  <r>
    <s v="O00386"/>
    <d v="2024-07-02T00:00:00"/>
    <x v="10"/>
    <s v="C0030"/>
    <x v="22"/>
    <s v="No Campaign"/>
    <x v="1"/>
    <n v="5"/>
    <n v="0.1"/>
    <n v="563.72"/>
    <n v="63.27"/>
    <n v="0.11223657134747747"/>
  </r>
  <r>
    <s v="O00387"/>
    <d v="2024-12-14T00:00:00"/>
    <x v="5"/>
    <s v="C0300"/>
    <x v="20"/>
    <s v="CA003"/>
    <x v="0"/>
    <n v="1"/>
    <n v="0.05"/>
    <n v="89.9"/>
    <n v="15.82"/>
    <n v="0.17597330367074526"/>
  </r>
  <r>
    <s v="O00388"/>
    <d v="2024-08-06T00:00:00"/>
    <x v="11"/>
    <s v="C0124"/>
    <x v="15"/>
    <s v="CA001"/>
    <x v="0"/>
    <n v="2"/>
    <n v="0.2"/>
    <n v="103.23"/>
    <n v="46.63"/>
    <n v="0.45170977429041947"/>
  </r>
  <r>
    <s v="O00389"/>
    <d v="2024-09-10T00:00:00"/>
    <x v="7"/>
    <s v="C0199"/>
    <x v="9"/>
    <s v="CA003"/>
    <x v="0"/>
    <n v="2"/>
    <n v="0.05"/>
    <n v="305.39"/>
    <n v="95.97"/>
    <n v="0.31425390484298765"/>
  </r>
  <r>
    <s v="O00390"/>
    <d v="2025-03-25T00:00:00"/>
    <x v="4"/>
    <s v="C0163"/>
    <x v="22"/>
    <s v="No Campaign"/>
    <x v="1"/>
    <n v="5"/>
    <n v="0"/>
    <n v="626.35"/>
    <n v="125.9"/>
    <n v="0.20100582741278838"/>
  </r>
  <r>
    <s v="O00391"/>
    <d v="2024-11-28T00:00:00"/>
    <x v="8"/>
    <s v="C0181"/>
    <x v="26"/>
    <s v="CA003"/>
    <x v="0"/>
    <n v="5"/>
    <n v="0.05"/>
    <n v="2351.11"/>
    <n v="727.61"/>
    <n v="0.30947509899579345"/>
  </r>
  <r>
    <s v="O00392"/>
    <d v="2024-08-21T00:00:00"/>
    <x v="11"/>
    <s v="C0253"/>
    <x v="11"/>
    <s v="CA005"/>
    <x v="0"/>
    <n v="2"/>
    <n v="0.15"/>
    <n v="628.97"/>
    <n v="284.63"/>
    <n v="0.45253350716250373"/>
  </r>
  <r>
    <s v="O00393"/>
    <d v="2024-08-27T00:00:00"/>
    <x v="11"/>
    <s v="C0020"/>
    <x v="4"/>
    <s v="CA001"/>
    <x v="0"/>
    <n v="2"/>
    <n v="0.2"/>
    <n v="356.03"/>
    <n v="172.71"/>
    <n v="0.48509957026093314"/>
  </r>
  <r>
    <s v="O00394"/>
    <d v="2024-09-30T00:00:00"/>
    <x v="7"/>
    <s v="C0113"/>
    <x v="5"/>
    <s v="No Campaign"/>
    <x v="1"/>
    <n v="1"/>
    <n v="0.1"/>
    <n v="338.35"/>
    <n v="151.15"/>
    <n v="0.44672676222846164"/>
  </r>
  <r>
    <s v="O00395"/>
    <d v="2024-07-05T00:00:00"/>
    <x v="10"/>
    <s v="C0104"/>
    <x v="22"/>
    <s v="CA003"/>
    <x v="0"/>
    <n v="3"/>
    <n v="0.3"/>
    <n v="263.07"/>
    <n v="-37.200000000000003"/>
    <n v="-0.14140723001482497"/>
  </r>
  <r>
    <s v="O00396"/>
    <d v="2024-08-24T00:00:00"/>
    <x v="11"/>
    <s v="C0091"/>
    <x v="25"/>
    <s v="No Campaign"/>
    <x v="1"/>
    <n v="1"/>
    <n v="0"/>
    <n v="433.17"/>
    <n v="257.91000000000003"/>
    <n v="0.59540134358335073"/>
  </r>
  <r>
    <s v="O00397"/>
    <d v="2025-05-14T00:00:00"/>
    <x v="0"/>
    <s v="C0076"/>
    <x v="26"/>
    <s v="CA003"/>
    <x v="0"/>
    <n v="1"/>
    <n v="0.2"/>
    <n v="395.98"/>
    <n v="71.28"/>
    <n v="0.18000909136825091"/>
  </r>
  <r>
    <s v="O00398"/>
    <d v="2025-03-28T00:00:00"/>
    <x v="4"/>
    <s v="C0187"/>
    <x v="4"/>
    <s v="No Campaign"/>
    <x v="1"/>
    <n v="4"/>
    <n v="0.2"/>
    <n v="712.06"/>
    <n v="345.42"/>
    <n v="0.48509957026093314"/>
  </r>
  <r>
    <s v="O00399"/>
    <d v="2025-01-30T00:00:00"/>
    <x v="3"/>
    <s v="C0052"/>
    <x v="27"/>
    <s v="CA005"/>
    <x v="0"/>
    <n v="3"/>
    <n v="0.05"/>
    <n v="227.77"/>
    <n v="43.42"/>
    <n v="0.19063089959169338"/>
  </r>
  <r>
    <s v="O00400"/>
    <d v="2025-05-08T00:00:00"/>
    <x v="0"/>
    <s v="C0081"/>
    <x v="18"/>
    <s v="No Campaign"/>
    <x v="1"/>
    <n v="4"/>
    <n v="0.3"/>
    <n v="411.99"/>
    <n v="118.51"/>
    <n v="0.28765261292749822"/>
  </r>
  <r>
    <s v="O00401"/>
    <d v="2025-01-24T00:00:00"/>
    <x v="3"/>
    <s v="C0163"/>
    <x v="6"/>
    <s v="No Campaign"/>
    <x v="1"/>
    <n v="2"/>
    <n v="0.3"/>
    <n v="423.99"/>
    <n v="-14.39"/>
    <n v="-3.3939479704710014E-2"/>
  </r>
  <r>
    <s v="O00402"/>
    <d v="2025-04-15T00:00:00"/>
    <x v="1"/>
    <s v="C0090"/>
    <x v="28"/>
    <s v="CA005"/>
    <x v="0"/>
    <n v="3"/>
    <n v="0.05"/>
    <n v="320.05"/>
    <n v="175.93"/>
    <n v="0.54969536009998443"/>
  </r>
  <r>
    <s v="O00403"/>
    <d v="2024-08-25T00:00:00"/>
    <x v="11"/>
    <s v="C0091"/>
    <x v="18"/>
    <s v="CA001"/>
    <x v="0"/>
    <n v="5"/>
    <n v="0.15"/>
    <n v="625.34"/>
    <n v="258.49"/>
    <n v="0.41335913263184826"/>
  </r>
  <r>
    <s v="O00404"/>
    <d v="2025-03-13T00:00:00"/>
    <x v="4"/>
    <s v="C0291"/>
    <x v="13"/>
    <s v="CA003"/>
    <x v="0"/>
    <n v="5"/>
    <n v="0.1"/>
    <n v="311.39999999999998"/>
    <n v="70.5"/>
    <n v="0.22639691714836224"/>
  </r>
  <r>
    <s v="O00405"/>
    <d v="2025-02-13T00:00:00"/>
    <x v="2"/>
    <s v="C0114"/>
    <x v="8"/>
    <s v="CA002"/>
    <x v="0"/>
    <n v="4"/>
    <n v="0.05"/>
    <n v="1574.99"/>
    <n v="377.99"/>
    <n v="0.23999517457253697"/>
  </r>
  <r>
    <s v="O00406"/>
    <d v="2025-06-17T00:00:00"/>
    <x v="6"/>
    <s v="C0170"/>
    <x v="18"/>
    <s v="CA002"/>
    <x v="0"/>
    <n v="2"/>
    <n v="0.1"/>
    <n v="264.85000000000002"/>
    <n v="118.11"/>
    <n v="0.44595053804040019"/>
  </r>
  <r>
    <s v="O00407"/>
    <d v="2025-05-20T00:00:00"/>
    <x v="0"/>
    <s v="C0164"/>
    <x v="6"/>
    <s v="CA002"/>
    <x v="0"/>
    <n v="3"/>
    <n v="0.15"/>
    <n v="772.27"/>
    <n v="114.7"/>
    <n v="0.14852318489647404"/>
  </r>
  <r>
    <s v="O00408"/>
    <d v="2024-07-15T00:00:00"/>
    <x v="10"/>
    <s v="C0006"/>
    <x v="15"/>
    <s v="CA004"/>
    <x v="0"/>
    <n v="2"/>
    <n v="0.3"/>
    <n v="90.33"/>
    <n v="33.729999999999997"/>
    <n v="0.37340861286394328"/>
  </r>
  <r>
    <s v="O00409"/>
    <d v="2024-10-19T00:00:00"/>
    <x v="9"/>
    <s v="C0035"/>
    <x v="9"/>
    <s v="CA005"/>
    <x v="0"/>
    <n v="1"/>
    <n v="0.3"/>
    <n v="112.51"/>
    <n v="7.8"/>
    <n v="6.9327170918140599E-2"/>
  </r>
  <r>
    <s v="O00410"/>
    <d v="2024-08-29T00:00:00"/>
    <x v="11"/>
    <s v="C0001"/>
    <x v="13"/>
    <s v="No Campaign"/>
    <x v="1"/>
    <n v="4"/>
    <n v="0.3"/>
    <n v="193.76"/>
    <n v="1.04"/>
    <n v="5.3674649050371595E-3"/>
  </r>
  <r>
    <s v="O00411"/>
    <d v="2025-03-31T00:00:00"/>
    <x v="4"/>
    <s v="C0215"/>
    <x v="6"/>
    <s v="No Campaign"/>
    <x v="1"/>
    <n v="4"/>
    <n v="0.15"/>
    <n v="1029.69"/>
    <n v="152.93"/>
    <n v="0.1485204284784741"/>
  </r>
  <r>
    <s v="O00412"/>
    <d v="2024-12-11T00:00:00"/>
    <x v="5"/>
    <s v="C0180"/>
    <x v="11"/>
    <s v="No Campaign"/>
    <x v="1"/>
    <n v="1"/>
    <n v="0.15"/>
    <n v="314.48"/>
    <n v="142.31"/>
    <n v="0.45252480284914776"/>
  </r>
  <r>
    <s v="O00413"/>
    <d v="2024-07-29T00:00:00"/>
    <x v="10"/>
    <s v="C0296"/>
    <x v="8"/>
    <s v="CA004"/>
    <x v="0"/>
    <n v="2"/>
    <n v="0.15"/>
    <n v="704.6"/>
    <n v="106.1"/>
    <n v="0.15058189043428893"/>
  </r>
  <r>
    <s v="O00414"/>
    <d v="2025-02-10T00:00:00"/>
    <x v="2"/>
    <s v="C0038"/>
    <x v="22"/>
    <s v="CA001"/>
    <x v="0"/>
    <n v="3"/>
    <n v="0"/>
    <n v="375.81"/>
    <n v="75.540000000000006"/>
    <n v="0.20100582741278838"/>
  </r>
  <r>
    <s v="O00415"/>
    <d v="2025-04-26T00:00:00"/>
    <x v="1"/>
    <s v="C0164"/>
    <x v="15"/>
    <s v="CA002"/>
    <x v="0"/>
    <n v="1"/>
    <n v="0.1"/>
    <n v="58.07"/>
    <n v="29.77"/>
    <n v="0.51265713793697265"/>
  </r>
  <r>
    <s v="O00416"/>
    <d v="2025-02-10T00:00:00"/>
    <x v="2"/>
    <s v="C0088"/>
    <x v="24"/>
    <s v="No Campaign"/>
    <x v="1"/>
    <n v="2"/>
    <n v="0.3"/>
    <n v="284.45"/>
    <n v="-40.01"/>
    <n v="-0.14065740903497978"/>
  </r>
  <r>
    <s v="O00417"/>
    <d v="2024-08-09T00:00:00"/>
    <x v="11"/>
    <s v="C0039"/>
    <x v="11"/>
    <s v="CA002"/>
    <x v="0"/>
    <n v="3"/>
    <n v="0.2"/>
    <n v="887.95"/>
    <n v="371.44"/>
    <n v="0.41831184188298887"/>
  </r>
  <r>
    <s v="O00418"/>
    <d v="2024-11-17T00:00:00"/>
    <x v="8"/>
    <s v="C0248"/>
    <x v="12"/>
    <s v="CA001"/>
    <x v="0"/>
    <n v="4"/>
    <n v="0.3"/>
    <n v="936.91"/>
    <n v="189.71"/>
    <n v="0.20248476374464999"/>
  </r>
  <r>
    <s v="O00419"/>
    <d v="2024-09-02T00:00:00"/>
    <x v="7"/>
    <s v="C0085"/>
    <x v="16"/>
    <s v="No Campaign"/>
    <x v="1"/>
    <n v="2"/>
    <n v="0"/>
    <n v="351.32"/>
    <n v="102.82"/>
    <n v="0.29266765342138218"/>
  </r>
  <r>
    <s v="O00420"/>
    <d v="2025-03-02T00:00:00"/>
    <x v="4"/>
    <s v="C0052"/>
    <x v="27"/>
    <s v="CA004"/>
    <x v="0"/>
    <n v="2"/>
    <n v="0.15"/>
    <n v="135.86000000000001"/>
    <n v="12.96"/>
    <n v="9.5392315619019577E-2"/>
  </r>
  <r>
    <s v="O00421"/>
    <d v="2025-03-10T00:00:00"/>
    <x v="4"/>
    <s v="C0284"/>
    <x v="18"/>
    <s v="CA005"/>
    <x v="0"/>
    <n v="3"/>
    <n v="0.1"/>
    <n v="397.28"/>
    <n v="177.17"/>
    <n v="0.44595751107531212"/>
  </r>
  <r>
    <s v="O00422"/>
    <d v="2024-07-17T00:00:00"/>
    <x v="10"/>
    <s v="C0122"/>
    <x v="3"/>
    <s v="CA001"/>
    <x v="0"/>
    <n v="4"/>
    <n v="0.2"/>
    <n v="840.22"/>
    <n v="408.94"/>
    <n v="0.48670586275023209"/>
  </r>
  <r>
    <s v="O00423"/>
    <d v="2025-05-07T00:00:00"/>
    <x v="0"/>
    <s v="C0282"/>
    <x v="23"/>
    <s v="No Campaign"/>
    <x v="1"/>
    <n v="2"/>
    <n v="0"/>
    <n v="765.56"/>
    <n v="195.64"/>
    <n v="0.25555149171848057"/>
  </r>
  <r>
    <s v="O00424"/>
    <d v="2024-12-29T00:00:00"/>
    <x v="5"/>
    <s v="C0185"/>
    <x v="5"/>
    <s v="No Campaign"/>
    <x v="1"/>
    <n v="1"/>
    <n v="0.1"/>
    <n v="338.35"/>
    <n v="151.15"/>
    <n v="0.44672676222846164"/>
  </r>
  <r>
    <s v="O00425"/>
    <d v="2024-11-01T00:00:00"/>
    <x v="8"/>
    <s v="C0246"/>
    <x v="1"/>
    <s v="CA002"/>
    <x v="0"/>
    <n v="1"/>
    <n v="0.05"/>
    <n v="386.45"/>
    <n v="110.14"/>
    <n v="0.28500452839953422"/>
  </r>
  <r>
    <s v="O00426"/>
    <d v="2024-11-29T00:00:00"/>
    <x v="8"/>
    <s v="C0088"/>
    <x v="8"/>
    <s v="CA005"/>
    <x v="0"/>
    <n v="1"/>
    <n v="0.15"/>
    <n v="352.3"/>
    <n v="53.05"/>
    <n v="0.15058189043428893"/>
  </r>
  <r>
    <s v="O00427"/>
    <d v="2024-07-08T00:00:00"/>
    <x v="10"/>
    <s v="C0060"/>
    <x v="17"/>
    <s v="No Campaign"/>
    <x v="1"/>
    <n v="4"/>
    <n v="0.15"/>
    <n v="499.7"/>
    <n v="254.34"/>
    <n v="0.50898539123474085"/>
  </r>
  <r>
    <s v="O00428"/>
    <d v="2024-12-16T00:00:00"/>
    <x v="5"/>
    <s v="C0136"/>
    <x v="4"/>
    <s v="No Campaign"/>
    <x v="1"/>
    <n v="2"/>
    <n v="0.1"/>
    <n v="400.54"/>
    <n v="217.22"/>
    <n v="0.5423178708743196"/>
  </r>
  <r>
    <s v="O00429"/>
    <d v="2024-09-24T00:00:00"/>
    <x v="7"/>
    <s v="C0196"/>
    <x v="9"/>
    <s v="CA003"/>
    <x v="0"/>
    <n v="4"/>
    <n v="0"/>
    <n v="642.91999999999996"/>
    <n v="224.08"/>
    <n v="0.34853480992969582"/>
  </r>
  <r>
    <s v="O00430"/>
    <d v="2024-12-26T00:00:00"/>
    <x v="5"/>
    <s v="C0135"/>
    <x v="0"/>
    <s v="No Campaign"/>
    <x v="1"/>
    <n v="3"/>
    <n v="0.05"/>
    <n v="577.01"/>
    <n v="223.91"/>
    <n v="0.38805220013517966"/>
  </r>
  <r>
    <s v="O00431"/>
    <d v="2025-02-20T00:00:00"/>
    <x v="2"/>
    <s v="C0138"/>
    <x v="26"/>
    <s v="CA001"/>
    <x v="0"/>
    <n v="2"/>
    <n v="0.3"/>
    <n v="692.96"/>
    <n v="43.56"/>
    <n v="6.2860771184483952E-2"/>
  </r>
  <r>
    <s v="O00432"/>
    <d v="2024-07-21T00:00:00"/>
    <x v="10"/>
    <s v="C0050"/>
    <x v="4"/>
    <s v="No Campaign"/>
    <x v="1"/>
    <n v="5"/>
    <n v="0.15"/>
    <n v="945.71"/>
    <n v="487.41"/>
    <n v="0.51539055312939486"/>
  </r>
  <r>
    <s v="O00433"/>
    <d v="2025-06-18T00:00:00"/>
    <x v="6"/>
    <s v="C0117"/>
    <x v="11"/>
    <s v="CA001"/>
    <x v="0"/>
    <n v="4"/>
    <n v="0.2"/>
    <n v="1183.94"/>
    <n v="495.26"/>
    <n v="0.41831511732013443"/>
  </r>
  <r>
    <s v="O00434"/>
    <d v="2025-04-18T00:00:00"/>
    <x v="1"/>
    <s v="C0215"/>
    <x v="11"/>
    <s v="No Campaign"/>
    <x v="1"/>
    <n v="5"/>
    <n v="0.05"/>
    <n v="1757.4"/>
    <n v="896.55"/>
    <n v="0.51015705018777735"/>
  </r>
  <r>
    <s v="O00435"/>
    <d v="2025-04-15T00:00:00"/>
    <x v="1"/>
    <s v="C0244"/>
    <x v="17"/>
    <s v="CA002"/>
    <x v="0"/>
    <n v="4"/>
    <n v="0.3"/>
    <n v="411.52"/>
    <n v="166.16"/>
    <n v="0.40377138413685848"/>
  </r>
  <r>
    <s v="O00436"/>
    <d v="2024-12-28T00:00:00"/>
    <x v="5"/>
    <s v="C0018"/>
    <x v="7"/>
    <s v="CA003"/>
    <x v="0"/>
    <n v="1"/>
    <n v="0.15"/>
    <n v="399.15"/>
    <n v="89.59"/>
    <n v="0.22445196041588378"/>
  </r>
  <r>
    <s v="O00437"/>
    <d v="2024-10-23T00:00:00"/>
    <x v="9"/>
    <s v="C0089"/>
    <x v="6"/>
    <s v="CA004"/>
    <x v="0"/>
    <n v="2"/>
    <n v="0.05"/>
    <n v="575.41999999999996"/>
    <n v="137.04"/>
    <n v="0.23815647700809844"/>
  </r>
  <r>
    <s v="O00438"/>
    <d v="2024-11-16T00:00:00"/>
    <x v="8"/>
    <s v="C0022"/>
    <x v="2"/>
    <s v="CA002"/>
    <x v="0"/>
    <n v="4"/>
    <n v="0.05"/>
    <n v="603.86"/>
    <n v="329.3"/>
    <n v="0.54532507534859076"/>
  </r>
  <r>
    <s v="O00439"/>
    <d v="2025-04-17T00:00:00"/>
    <x v="1"/>
    <s v="C0076"/>
    <x v="23"/>
    <s v="CA005"/>
    <x v="0"/>
    <n v="3"/>
    <n v="0.3"/>
    <n v="803.84"/>
    <n v="-51.04"/>
    <n v="-6.3495222929936299E-2"/>
  </r>
  <r>
    <s v="O00440"/>
    <d v="2025-02-16T00:00:00"/>
    <x v="2"/>
    <s v="C0035"/>
    <x v="4"/>
    <s v="No Campaign"/>
    <x v="1"/>
    <n v="5"/>
    <n v="0.15"/>
    <n v="945.71"/>
    <n v="487.41"/>
    <n v="0.51539055312939486"/>
  </r>
  <r>
    <s v="O00441"/>
    <d v="2024-08-08T00:00:00"/>
    <x v="11"/>
    <s v="C0283"/>
    <x v="27"/>
    <s v="CA005"/>
    <x v="0"/>
    <n v="5"/>
    <n v="0.15"/>
    <n v="339.66"/>
    <n v="32.409999999999997"/>
    <n v="9.5418948360124808E-2"/>
  </r>
  <r>
    <s v="O00442"/>
    <d v="2025-03-25T00:00:00"/>
    <x v="4"/>
    <s v="C0007"/>
    <x v="22"/>
    <s v="No Campaign"/>
    <x v="1"/>
    <n v="1"/>
    <n v="0.15"/>
    <n v="106.48"/>
    <n v="6.39"/>
    <n v="6.0011269722013517E-2"/>
  </r>
  <r>
    <s v="O00443"/>
    <d v="2025-01-08T00:00:00"/>
    <x v="3"/>
    <s v="C0077"/>
    <x v="29"/>
    <s v="CA002"/>
    <x v="0"/>
    <n v="1"/>
    <n v="0.2"/>
    <n v="265.55"/>
    <n v="60.42"/>
    <n v="0.22752777254754283"/>
  </r>
  <r>
    <s v="O00444"/>
    <d v="2025-04-13T00:00:00"/>
    <x v="1"/>
    <s v="C0052"/>
    <x v="22"/>
    <s v="CA005"/>
    <x v="0"/>
    <n v="5"/>
    <n v="0.1"/>
    <n v="563.72"/>
    <n v="63.27"/>
    <n v="0.11223657134747747"/>
  </r>
  <r>
    <s v="O00445"/>
    <d v="2024-07-29T00:00:00"/>
    <x v="10"/>
    <s v="C0211"/>
    <x v="15"/>
    <s v="No Campaign"/>
    <x v="1"/>
    <n v="4"/>
    <n v="0.2"/>
    <n v="206.46"/>
    <n v="93.26"/>
    <n v="0.45170977429041947"/>
  </r>
  <r>
    <s v="O00446"/>
    <d v="2024-10-04T00:00:00"/>
    <x v="9"/>
    <s v="C0243"/>
    <x v="13"/>
    <s v="CA003"/>
    <x v="0"/>
    <n v="3"/>
    <n v="0.15"/>
    <n v="176.46"/>
    <n v="31.92"/>
    <n v="0.18089085345120706"/>
  </r>
  <r>
    <s v="O00447"/>
    <d v="2025-05-14T00:00:00"/>
    <x v="0"/>
    <s v="C0074"/>
    <x v="16"/>
    <s v="No Campaign"/>
    <x v="1"/>
    <n v="1"/>
    <n v="0.15"/>
    <n v="149.31"/>
    <n v="25.06"/>
    <n v="0.1678387248007501"/>
  </r>
  <r>
    <s v="O00448"/>
    <d v="2025-05-13T00:00:00"/>
    <x v="0"/>
    <s v="C0170"/>
    <x v="12"/>
    <s v="CA004"/>
    <x v="0"/>
    <n v="1"/>
    <n v="0.3"/>
    <n v="234.23"/>
    <n v="47.43"/>
    <n v="0.20249327583998636"/>
  </r>
  <r>
    <s v="O00449"/>
    <d v="2024-11-29T00:00:00"/>
    <x v="8"/>
    <s v="C0244"/>
    <x v="25"/>
    <s v="CA005"/>
    <x v="0"/>
    <n v="3"/>
    <n v="0"/>
    <n v="1299.51"/>
    <n v="773.73"/>
    <n v="0.59540134358335062"/>
  </r>
  <r>
    <s v="O00450"/>
    <d v="2024-10-29T00:00:00"/>
    <x v="9"/>
    <s v="C0173"/>
    <x v="23"/>
    <s v="CA005"/>
    <x v="0"/>
    <n v="3"/>
    <n v="0.1"/>
    <n v="1033.51"/>
    <n v="178.63"/>
    <n v="0.17283819218004665"/>
  </r>
  <r>
    <s v="O00451"/>
    <d v="2025-04-11T00:00:00"/>
    <x v="1"/>
    <s v="C0252"/>
    <x v="14"/>
    <s v="CA002"/>
    <x v="0"/>
    <n v="2"/>
    <n v="0.05"/>
    <n v="183.9"/>
    <n v="53.78"/>
    <n v="0.29244154431756392"/>
  </r>
  <r>
    <s v="O00452"/>
    <d v="2024-07-22T00:00:00"/>
    <x v="10"/>
    <s v="C0154"/>
    <x v="18"/>
    <s v="No Campaign"/>
    <x v="1"/>
    <n v="3"/>
    <n v="0.1"/>
    <n v="397.28"/>
    <n v="177.17"/>
    <n v="0.44595751107531212"/>
  </r>
  <r>
    <s v="O00453"/>
    <d v="2024-12-11T00:00:00"/>
    <x v="5"/>
    <s v="C0214"/>
    <x v="16"/>
    <s v="CA002"/>
    <x v="0"/>
    <n v="2"/>
    <n v="0.15"/>
    <n v="298.62"/>
    <n v="50.12"/>
    <n v="0.1678387248007501"/>
  </r>
  <r>
    <s v="O00454"/>
    <d v="2025-02-23T00:00:00"/>
    <x v="2"/>
    <s v="C0109"/>
    <x v="25"/>
    <s v="No Campaign"/>
    <x v="1"/>
    <n v="4"/>
    <n v="0.2"/>
    <n v="1386.14"/>
    <n v="685.1"/>
    <n v="0.49425022003549424"/>
  </r>
  <r>
    <s v="O00455"/>
    <d v="2024-08-27T00:00:00"/>
    <x v="11"/>
    <s v="C0192"/>
    <x v="23"/>
    <s v="CA001"/>
    <x v="0"/>
    <n v="5"/>
    <n v="0.05"/>
    <n v="1818.2"/>
    <n v="393.4"/>
    <n v="0.21636783632163675"/>
  </r>
  <r>
    <s v="O00456"/>
    <d v="2025-01-25T00:00:00"/>
    <x v="3"/>
    <s v="C0034"/>
    <x v="17"/>
    <s v="No Campaign"/>
    <x v="1"/>
    <n v="2"/>
    <n v="0.2"/>
    <n v="235.15"/>
    <n v="112.47"/>
    <n v="0.47829045290240269"/>
  </r>
  <r>
    <s v="O00457"/>
    <d v="2024-08-05T00:00:00"/>
    <x v="11"/>
    <s v="C0292"/>
    <x v="5"/>
    <s v="CA003"/>
    <x v="0"/>
    <n v="2"/>
    <n v="0.05"/>
    <n v="714.29"/>
    <n v="339.89"/>
    <n v="0.47584314494113034"/>
  </r>
  <r>
    <s v="O00458"/>
    <d v="2024-11-21T00:00:00"/>
    <x v="8"/>
    <s v="C0030"/>
    <x v="20"/>
    <s v="CA001"/>
    <x v="0"/>
    <n v="4"/>
    <n v="0"/>
    <n v="378.52"/>
    <n v="82.2"/>
    <n v="0.21716157666701894"/>
  </r>
  <r>
    <s v="O00459"/>
    <d v="2025-05-30T00:00:00"/>
    <x v="0"/>
    <s v="C0185"/>
    <x v="12"/>
    <s v="CA004"/>
    <x v="0"/>
    <n v="3"/>
    <n v="0.1"/>
    <n v="903.45"/>
    <n v="343.05"/>
    <n v="0.37971110742155073"/>
  </r>
  <r>
    <s v="O00460"/>
    <d v="2025-01-30T00:00:00"/>
    <x v="3"/>
    <s v="C0238"/>
    <x v="7"/>
    <s v="No Campaign"/>
    <x v="1"/>
    <n v="1"/>
    <n v="0.3"/>
    <n v="328.71"/>
    <n v="19.149999999999999"/>
    <n v="5.8258039000943077E-2"/>
  </r>
  <r>
    <s v="O00461"/>
    <d v="2024-08-20T00:00:00"/>
    <x v="11"/>
    <s v="C0016"/>
    <x v="20"/>
    <s v="No Campaign"/>
    <x v="1"/>
    <n v="4"/>
    <n v="0.2"/>
    <n v="302.82"/>
    <n v="6.5"/>
    <n v="2.1464896638266957E-2"/>
  </r>
  <r>
    <s v="O00462"/>
    <d v="2024-08-17T00:00:00"/>
    <x v="11"/>
    <s v="C0229"/>
    <x v="6"/>
    <s v="No Campaign"/>
    <x v="1"/>
    <n v="5"/>
    <n v="0.2"/>
    <n v="1211.4000000000001"/>
    <n v="115.45"/>
    <n v="9.530295525837873E-2"/>
  </r>
  <r>
    <s v="O00463"/>
    <d v="2025-06-17T00:00:00"/>
    <x v="6"/>
    <s v="C0180"/>
    <x v="9"/>
    <s v="CA003"/>
    <x v="0"/>
    <n v="3"/>
    <n v="0.3"/>
    <n v="337.53"/>
    <n v="23.4"/>
    <n v="6.9327170918140613E-2"/>
  </r>
  <r>
    <s v="O00464"/>
    <d v="2025-01-08T00:00:00"/>
    <x v="3"/>
    <s v="C0047"/>
    <x v="17"/>
    <s v="CA001"/>
    <x v="0"/>
    <n v="4"/>
    <n v="0"/>
    <n v="587.88"/>
    <n v="342.52"/>
    <n v="0.58263591209090293"/>
  </r>
  <r>
    <s v="O00465"/>
    <d v="2024-08-31T00:00:00"/>
    <x v="11"/>
    <s v="C0084"/>
    <x v="14"/>
    <s v="CA004"/>
    <x v="0"/>
    <n v="2"/>
    <n v="0.3"/>
    <n v="135.51"/>
    <n v="5.39"/>
    <n v="3.9775662312744445E-2"/>
  </r>
  <r>
    <s v="O00466"/>
    <d v="2025-03-28T00:00:00"/>
    <x v="4"/>
    <s v="C0116"/>
    <x v="19"/>
    <s v="CA004"/>
    <x v="0"/>
    <n v="3"/>
    <n v="0.3"/>
    <n v="108.72"/>
    <n v="-10.14"/>
    <n v="-9.3267108167770424E-2"/>
  </r>
  <r>
    <s v="O00467"/>
    <d v="2025-05-17T00:00:00"/>
    <x v="0"/>
    <s v="C0210"/>
    <x v="7"/>
    <s v="CA001"/>
    <x v="0"/>
    <n v="1"/>
    <n v="0.15"/>
    <n v="399.15"/>
    <n v="89.59"/>
    <n v="0.22445196041588378"/>
  </r>
  <r>
    <s v="O00468"/>
    <d v="2025-05-20T00:00:00"/>
    <x v="0"/>
    <s v="C0068"/>
    <x v="8"/>
    <s v="CA003"/>
    <x v="0"/>
    <n v="5"/>
    <n v="0"/>
    <n v="2072.35"/>
    <n v="576.1"/>
    <n v="0.27799358216517484"/>
  </r>
  <r>
    <s v="O00469"/>
    <d v="2024-11-25T00:00:00"/>
    <x v="8"/>
    <s v="C0115"/>
    <x v="15"/>
    <s v="CA005"/>
    <x v="0"/>
    <n v="3"/>
    <n v="0.15"/>
    <n v="164.53"/>
    <n v="79.63"/>
    <n v="0.48398468364432018"/>
  </r>
  <r>
    <s v="O00470"/>
    <d v="2024-12-04T00:00:00"/>
    <x v="5"/>
    <s v="C0193"/>
    <x v="14"/>
    <s v="No Campaign"/>
    <x v="1"/>
    <n v="4"/>
    <n v="0.1"/>
    <n v="348.44"/>
    <n v="88.2"/>
    <n v="0.25312822867638618"/>
  </r>
  <r>
    <s v="O00471"/>
    <d v="2024-10-21T00:00:00"/>
    <x v="9"/>
    <s v="C0112"/>
    <x v="0"/>
    <s v="CA005"/>
    <x v="0"/>
    <n v="5"/>
    <n v="0.2"/>
    <n v="809.84"/>
    <n v="221.34"/>
    <n v="0.2733132470611479"/>
  </r>
  <r>
    <s v="O00472"/>
    <d v="2024-06-30T00:00:00"/>
    <x v="12"/>
    <s v="C0204"/>
    <x v="26"/>
    <s v="CA002"/>
    <x v="0"/>
    <n v="1"/>
    <n v="0.2"/>
    <n v="395.98"/>
    <n v="71.28"/>
    <n v="0.18000909136825091"/>
  </r>
  <r>
    <s v="O00473"/>
    <d v="2025-03-01T00:00:00"/>
    <x v="4"/>
    <s v="C0192"/>
    <x v="11"/>
    <s v="CA005"/>
    <x v="0"/>
    <n v="3"/>
    <n v="0.3"/>
    <n v="776.96"/>
    <n v="260.45"/>
    <n v="0.33521674217462927"/>
  </r>
  <r>
    <s v="O00474"/>
    <d v="2025-05-16T00:00:00"/>
    <x v="0"/>
    <s v="C0056"/>
    <x v="21"/>
    <s v="CA002"/>
    <x v="0"/>
    <n v="3"/>
    <n v="0.1"/>
    <n v="533.76"/>
    <n v="246.84"/>
    <n v="0.46245503597122306"/>
  </r>
  <r>
    <s v="O00475"/>
    <d v="2025-02-19T00:00:00"/>
    <x v="2"/>
    <s v="C0167"/>
    <x v="14"/>
    <s v="CA005"/>
    <x v="0"/>
    <n v="3"/>
    <n v="0.3"/>
    <n v="203.26"/>
    <n v="8.08"/>
    <n v="3.9752041719964583E-2"/>
  </r>
  <r>
    <s v="O00476"/>
    <d v="2024-09-02T00:00:00"/>
    <x v="7"/>
    <s v="C0153"/>
    <x v="1"/>
    <s v="CA003"/>
    <x v="0"/>
    <n v="5"/>
    <n v="0.05"/>
    <n v="1932.25"/>
    <n v="550.70000000000005"/>
    <n v="0.28500452839953422"/>
  </r>
  <r>
    <s v="O00477"/>
    <d v="2024-09-07T00:00:00"/>
    <x v="7"/>
    <s v="C0030"/>
    <x v="22"/>
    <s v="No Campaign"/>
    <x v="1"/>
    <n v="3"/>
    <n v="0.3"/>
    <n v="263.07"/>
    <n v="-37.200000000000003"/>
    <n v="-0.14140723001482497"/>
  </r>
  <r>
    <s v="O00478"/>
    <d v="2024-08-18T00:00:00"/>
    <x v="11"/>
    <s v="C0072"/>
    <x v="18"/>
    <s v="CA001"/>
    <x v="0"/>
    <n v="4"/>
    <n v="0.1"/>
    <n v="529.70000000000005"/>
    <n v="236.22"/>
    <n v="0.44595053804040019"/>
  </r>
  <r>
    <s v="O00479"/>
    <d v="2025-06-01T00:00:00"/>
    <x v="6"/>
    <s v="C0133"/>
    <x v="25"/>
    <s v="No Campaign"/>
    <x v="1"/>
    <n v="4"/>
    <n v="0.15"/>
    <n v="1472.78"/>
    <n v="771.74"/>
    <n v="0.52400222708075883"/>
  </r>
  <r>
    <s v="O00480"/>
    <d v="2025-01-04T00:00:00"/>
    <x v="3"/>
    <s v="C0019"/>
    <x v="26"/>
    <s v="CA004"/>
    <x v="0"/>
    <n v="3"/>
    <n v="0.3"/>
    <n v="1039.44"/>
    <n v="65.34"/>
    <n v="6.2860771184483952E-2"/>
  </r>
  <r>
    <s v="O00481"/>
    <d v="2025-01-27T00:00:00"/>
    <x v="3"/>
    <s v="C0114"/>
    <x v="19"/>
    <s v="No Campaign"/>
    <x v="1"/>
    <n v="3"/>
    <n v="0.2"/>
    <n v="124.25"/>
    <n v="5.39"/>
    <n v="4.338028169014084E-2"/>
  </r>
  <r>
    <s v="O00482"/>
    <d v="2024-10-14T00:00:00"/>
    <x v="9"/>
    <s v="C0154"/>
    <x v="14"/>
    <s v="CA003"/>
    <x v="0"/>
    <n v="5"/>
    <n v="0.05"/>
    <n v="459.75"/>
    <n v="134.44999999999999"/>
    <n v="0.29244154431756386"/>
  </r>
  <r>
    <s v="O00483"/>
    <d v="2024-11-03T00:00:00"/>
    <x v="8"/>
    <s v="C0151"/>
    <x v="3"/>
    <s v="No Campaign"/>
    <x v="1"/>
    <n v="2"/>
    <n v="0.3"/>
    <n v="367.6"/>
    <n v="151.96"/>
    <n v="0.41338411316648532"/>
  </r>
  <r>
    <s v="O00484"/>
    <d v="2024-12-26T00:00:00"/>
    <x v="5"/>
    <s v="C0133"/>
    <x v="18"/>
    <s v="CA003"/>
    <x v="0"/>
    <n v="3"/>
    <n v="0.3"/>
    <n v="308.99"/>
    <n v="88.88"/>
    <n v="0.28764684941260232"/>
  </r>
  <r>
    <s v="O00485"/>
    <d v="2025-04-26T00:00:00"/>
    <x v="1"/>
    <s v="C0046"/>
    <x v="20"/>
    <s v="No Campaign"/>
    <x v="1"/>
    <n v="2"/>
    <n v="0.3"/>
    <n v="132.47999999999999"/>
    <n v="-15.68"/>
    <n v="-0.11835748792270533"/>
  </r>
  <r>
    <s v="O00486"/>
    <d v="2024-09-22T00:00:00"/>
    <x v="7"/>
    <s v="C0158"/>
    <x v="2"/>
    <s v="No Campaign"/>
    <x v="1"/>
    <n v="3"/>
    <n v="0.1"/>
    <n v="429.06"/>
    <n v="223.14"/>
    <n v="0.52006712347923367"/>
  </r>
  <r>
    <s v="O00487"/>
    <d v="2025-02-11T00:00:00"/>
    <x v="2"/>
    <s v="C0300"/>
    <x v="17"/>
    <s v="No Campaign"/>
    <x v="1"/>
    <n v="1"/>
    <n v="0.15"/>
    <n v="124.92"/>
    <n v="63.58"/>
    <n v="0.50896573807236634"/>
  </r>
  <r>
    <s v="O00488"/>
    <d v="2025-05-20T00:00:00"/>
    <x v="0"/>
    <s v="C0028"/>
    <x v="14"/>
    <s v="CA002"/>
    <x v="0"/>
    <n v="4"/>
    <n v="0.05"/>
    <n v="367.8"/>
    <n v="107.56"/>
    <n v="0.29244154431756392"/>
  </r>
  <r>
    <s v="O00489"/>
    <d v="2024-12-18T00:00:00"/>
    <x v="5"/>
    <s v="C0257"/>
    <x v="3"/>
    <s v="No Campaign"/>
    <x v="1"/>
    <n v="5"/>
    <n v="0.1"/>
    <n v="1181.56"/>
    <n v="642.46"/>
    <n v="0.54373878601171344"/>
  </r>
  <r>
    <s v="O00490"/>
    <d v="2025-03-16T00:00:00"/>
    <x v="4"/>
    <s v="C0212"/>
    <x v="13"/>
    <s v="CA003"/>
    <x v="0"/>
    <n v="2"/>
    <n v="0.05"/>
    <n v="131.47999999999999"/>
    <n v="35.119999999999997"/>
    <n v="0.26711286887739583"/>
  </r>
  <r>
    <s v="O00491"/>
    <d v="2024-12-04T00:00:00"/>
    <x v="5"/>
    <s v="C0176"/>
    <x v="2"/>
    <s v="No Campaign"/>
    <x v="1"/>
    <n v="2"/>
    <n v="0.1"/>
    <n v="286.04000000000002"/>
    <n v="148.76"/>
    <n v="0.52006712347923356"/>
  </r>
  <r>
    <s v="O00492"/>
    <d v="2025-03-12T00:00:00"/>
    <x v="4"/>
    <s v="C0093"/>
    <x v="10"/>
    <s v="CA002"/>
    <x v="0"/>
    <n v="4"/>
    <n v="0.1"/>
    <n v="1082.1600000000001"/>
    <n v="169.4"/>
    <n v="0.15653877430324536"/>
  </r>
  <r>
    <s v="O00493"/>
    <d v="2024-10-15T00:00:00"/>
    <x v="9"/>
    <s v="C0091"/>
    <x v="27"/>
    <s v="CA001"/>
    <x v="0"/>
    <n v="1"/>
    <n v="0.15"/>
    <n v="67.930000000000007"/>
    <n v="6.48"/>
    <n v="9.5392315619019577E-2"/>
  </r>
  <r>
    <s v="O00494"/>
    <d v="2025-04-17T00:00:00"/>
    <x v="1"/>
    <s v="C0141"/>
    <x v="1"/>
    <s v="CA003"/>
    <x v="0"/>
    <n v="5"/>
    <n v="0.05"/>
    <n v="1932.25"/>
    <n v="550.70000000000005"/>
    <n v="0.28500452839953422"/>
  </r>
  <r>
    <s v="O00495"/>
    <d v="2025-02-14T00:00:00"/>
    <x v="2"/>
    <s v="C0251"/>
    <x v="22"/>
    <s v="CA002"/>
    <x v="0"/>
    <n v="2"/>
    <n v="0.2"/>
    <n v="200.43"/>
    <n v="0.25"/>
    <n v="1.2473182657286833E-3"/>
  </r>
  <r>
    <s v="O00496"/>
    <d v="2024-11-18T00:00:00"/>
    <x v="8"/>
    <s v="C0223"/>
    <x v="8"/>
    <s v="No Campaign"/>
    <x v="1"/>
    <n v="4"/>
    <n v="0.15"/>
    <n v="1409.2"/>
    <n v="212.2"/>
    <n v="0.15058189043428893"/>
  </r>
  <r>
    <s v="O00497"/>
    <d v="2025-01-14T00:00:00"/>
    <x v="3"/>
    <s v="C0245"/>
    <x v="28"/>
    <s v="CA001"/>
    <x v="0"/>
    <n v="1"/>
    <n v="0.2"/>
    <n v="89.84"/>
    <n v="41.8"/>
    <n v="0.46527159394479067"/>
  </r>
  <r>
    <s v="O00498"/>
    <d v="2025-04-24T00:00:00"/>
    <x v="1"/>
    <s v="C0103"/>
    <x v="18"/>
    <s v="No Campaign"/>
    <x v="1"/>
    <n v="1"/>
    <n v="0.1"/>
    <n v="132.43"/>
    <n v="59.06"/>
    <n v="0.44597145661859094"/>
  </r>
  <r>
    <s v="O00499"/>
    <d v="2024-09-01T00:00:00"/>
    <x v="7"/>
    <s v="C0272"/>
    <x v="1"/>
    <s v="CA001"/>
    <x v="0"/>
    <n v="1"/>
    <n v="0.3"/>
    <n v="284.75"/>
    <n v="8.44"/>
    <n v="2.9640035118525022E-2"/>
  </r>
  <r>
    <s v="O00500"/>
    <d v="2025-06-23T00:00:00"/>
    <x v="6"/>
    <s v="C0128"/>
    <x v="20"/>
    <s v="No Campaign"/>
    <x v="1"/>
    <n v="3"/>
    <n v="0.05"/>
    <n v="269.7"/>
    <n v="47.46"/>
    <n v="0.17597330367074529"/>
  </r>
  <r>
    <s v="O00501"/>
    <d v="2025-02-22T00:00:00"/>
    <x v="2"/>
    <s v="C0053"/>
    <x v="28"/>
    <s v="CA005"/>
    <x v="0"/>
    <n v="2"/>
    <n v="0"/>
    <n v="224.6"/>
    <n v="128.52000000000001"/>
    <n v="0.57221727515583265"/>
  </r>
  <r>
    <s v="O00502"/>
    <d v="2024-10-23T00:00:00"/>
    <x v="9"/>
    <s v="C0024"/>
    <x v="17"/>
    <s v="CA005"/>
    <x v="0"/>
    <n v="4"/>
    <n v="0.3"/>
    <n v="411.52"/>
    <n v="166.16"/>
    <n v="0.40377138413685848"/>
  </r>
  <r>
    <s v="O00503"/>
    <d v="2024-10-18T00:00:00"/>
    <x v="9"/>
    <s v="C0267"/>
    <x v="16"/>
    <s v="No Campaign"/>
    <x v="1"/>
    <n v="4"/>
    <n v="0.3"/>
    <n v="491.85"/>
    <n v="-5.15"/>
    <n v="-1.0470671952831148E-2"/>
  </r>
  <r>
    <s v="O00504"/>
    <d v="2024-07-27T00:00:00"/>
    <x v="10"/>
    <s v="C0069"/>
    <x v="27"/>
    <s v="No Campaign"/>
    <x v="1"/>
    <n v="3"/>
    <n v="0.05"/>
    <n v="227.77"/>
    <n v="43.42"/>
    <n v="0.19063089959169338"/>
  </r>
  <r>
    <s v="O00505"/>
    <d v="2024-11-17T00:00:00"/>
    <x v="8"/>
    <s v="C0085"/>
    <x v="25"/>
    <s v="No Campaign"/>
    <x v="1"/>
    <n v="1"/>
    <n v="0.05"/>
    <n v="411.51"/>
    <n v="236.25"/>
    <n v="0.57410512502733835"/>
  </r>
  <r>
    <s v="O00506"/>
    <d v="2025-04-29T00:00:00"/>
    <x v="1"/>
    <s v="C0115"/>
    <x v="18"/>
    <s v="CA003"/>
    <x v="0"/>
    <n v="2"/>
    <n v="0.3"/>
    <n v="206"/>
    <n v="59.26"/>
    <n v="0.28766990291262134"/>
  </r>
  <r>
    <s v="O00507"/>
    <d v="2025-03-29T00:00:00"/>
    <x v="4"/>
    <s v="C0012"/>
    <x v="26"/>
    <s v="CA003"/>
    <x v="0"/>
    <n v="1"/>
    <n v="0.1"/>
    <n v="445.47"/>
    <n v="120.77"/>
    <n v="0.27110692078029941"/>
  </r>
  <r>
    <s v="O00508"/>
    <d v="2025-02-07T00:00:00"/>
    <x v="2"/>
    <s v="C0020"/>
    <x v="28"/>
    <s v="CA005"/>
    <x v="0"/>
    <n v="5"/>
    <n v="0.2"/>
    <n v="449.2"/>
    <n v="209"/>
    <n v="0.46527159394479073"/>
  </r>
  <r>
    <s v="O00509"/>
    <d v="2025-05-27T00:00:00"/>
    <x v="0"/>
    <s v="C0025"/>
    <x v="16"/>
    <s v="CA001"/>
    <x v="0"/>
    <n v="1"/>
    <n v="0.3"/>
    <n v="122.96"/>
    <n v="-1.29"/>
    <n v="-1.0491216655823032E-2"/>
  </r>
  <r>
    <s v="O00510"/>
    <d v="2025-06-11T00:00:00"/>
    <x v="6"/>
    <s v="C0011"/>
    <x v="13"/>
    <s v="CA002"/>
    <x v="0"/>
    <n v="4"/>
    <n v="0.15"/>
    <n v="235.28"/>
    <n v="42.56"/>
    <n v="0.18089085345120709"/>
  </r>
  <r>
    <s v="O00511"/>
    <d v="2024-07-27T00:00:00"/>
    <x v="10"/>
    <s v="C0195"/>
    <x v="3"/>
    <s v="CA005"/>
    <x v="0"/>
    <n v="4"/>
    <n v="0.3"/>
    <n v="735.2"/>
    <n v="303.92"/>
    <n v="0.41338411316648532"/>
  </r>
  <r>
    <s v="O00512"/>
    <d v="2024-07-07T00:00:00"/>
    <x v="10"/>
    <s v="C0079"/>
    <x v="1"/>
    <s v="CA001"/>
    <x v="0"/>
    <n v="3"/>
    <n v="0.15"/>
    <n v="1037.31"/>
    <n v="208.38"/>
    <n v="0.20088498134598143"/>
  </r>
  <r>
    <s v="O00513"/>
    <d v="2025-05-14T00:00:00"/>
    <x v="0"/>
    <s v="C0052"/>
    <x v="19"/>
    <s v="CA005"/>
    <x v="0"/>
    <n v="5"/>
    <n v="0.2"/>
    <n v="207.08"/>
    <n v="8.98"/>
    <n v="4.3364883136951901E-2"/>
  </r>
  <r>
    <s v="O00514"/>
    <d v="2025-01-08T00:00:00"/>
    <x v="3"/>
    <s v="C0071"/>
    <x v="2"/>
    <s v="CA002"/>
    <x v="0"/>
    <n v="5"/>
    <n v="0.3"/>
    <n v="556.17999999999995"/>
    <n v="212.98"/>
    <n v="0.38293358265309796"/>
  </r>
  <r>
    <s v="O00515"/>
    <d v="2024-09-27T00:00:00"/>
    <x v="7"/>
    <s v="C0061"/>
    <x v="17"/>
    <s v="CA002"/>
    <x v="0"/>
    <n v="1"/>
    <n v="0.15"/>
    <n v="124.92"/>
    <n v="63.58"/>
    <n v="0.50896573807236634"/>
  </r>
  <r>
    <s v="O00516"/>
    <d v="2025-03-26T00:00:00"/>
    <x v="4"/>
    <s v="C0102"/>
    <x v="16"/>
    <s v="CA004"/>
    <x v="0"/>
    <n v="3"/>
    <n v="0.2"/>
    <n v="421.58"/>
    <n v="48.83"/>
    <n v="0.1158261777124152"/>
  </r>
  <r>
    <s v="O00517"/>
    <d v="2025-03-22T00:00:00"/>
    <x v="4"/>
    <s v="C0104"/>
    <x v="9"/>
    <s v="No Campaign"/>
    <x v="1"/>
    <n v="3"/>
    <n v="0.05"/>
    <n v="458.08"/>
    <n v="143.94999999999999"/>
    <n v="0.31424641983932938"/>
  </r>
  <r>
    <s v="O00518"/>
    <d v="2025-04-06T00:00:00"/>
    <x v="1"/>
    <s v="C0021"/>
    <x v="11"/>
    <s v="No Campaign"/>
    <x v="1"/>
    <n v="2"/>
    <n v="0.3"/>
    <n v="517.97"/>
    <n v="173.63"/>
    <n v="0.33521246404231902"/>
  </r>
  <r>
    <s v="O00519"/>
    <d v="2024-09-20T00:00:00"/>
    <x v="7"/>
    <s v="C0247"/>
    <x v="27"/>
    <s v="CA004"/>
    <x v="0"/>
    <n v="1"/>
    <n v="0"/>
    <n v="79.92"/>
    <n v="18.47"/>
    <n v="0.23110610610610607"/>
  </r>
  <r>
    <s v="O00520"/>
    <d v="2024-08-23T00:00:00"/>
    <x v="11"/>
    <s v="C0046"/>
    <x v="25"/>
    <s v="CA002"/>
    <x v="0"/>
    <n v="5"/>
    <n v="0.3"/>
    <n v="1516.09"/>
    <n v="639.79"/>
    <n v="0.422000013191829"/>
  </r>
  <r>
    <s v="O00521"/>
    <d v="2025-02-13T00:00:00"/>
    <x v="2"/>
    <s v="C0253"/>
    <x v="29"/>
    <s v="CA002"/>
    <x v="0"/>
    <n v="5"/>
    <n v="0"/>
    <n v="1659.7"/>
    <n v="634.04999999999995"/>
    <n v="0.38202687232632399"/>
  </r>
  <r>
    <s v="O00522"/>
    <d v="2024-08-15T00:00:00"/>
    <x v="11"/>
    <s v="C0052"/>
    <x v="24"/>
    <s v="CA005"/>
    <x v="0"/>
    <n v="2"/>
    <n v="0.15"/>
    <n v="345.41"/>
    <n v="20.95"/>
    <n v="6.0652557829825419E-2"/>
  </r>
  <r>
    <s v="O00523"/>
    <d v="2025-01-26T00:00:00"/>
    <x v="3"/>
    <s v="C0152"/>
    <x v="15"/>
    <s v="No Campaign"/>
    <x v="1"/>
    <n v="1"/>
    <n v="0"/>
    <n v="64.52"/>
    <n v="36.22"/>
    <n v="0.56137631742095473"/>
  </r>
  <r>
    <s v="O00524"/>
    <d v="2025-03-21T00:00:00"/>
    <x v="4"/>
    <s v="C0090"/>
    <x v="14"/>
    <s v="CA001"/>
    <x v="0"/>
    <n v="3"/>
    <n v="0.1"/>
    <n v="261.33"/>
    <n v="66.150000000000006"/>
    <n v="0.25312822867638624"/>
  </r>
  <r>
    <s v="O00525"/>
    <d v="2024-08-20T00:00:00"/>
    <x v="11"/>
    <s v="C0161"/>
    <x v="2"/>
    <s v="CA002"/>
    <x v="0"/>
    <n v="1"/>
    <n v="0"/>
    <n v="158.91"/>
    <n v="90.27"/>
    <n v="0.56805739097602415"/>
  </r>
  <r>
    <s v="O00526"/>
    <d v="2024-09-04T00:00:00"/>
    <x v="7"/>
    <s v="C0005"/>
    <x v="14"/>
    <s v="CA003"/>
    <x v="0"/>
    <n v="2"/>
    <n v="0.1"/>
    <n v="174.22"/>
    <n v="44.1"/>
    <n v="0.25312822867638618"/>
  </r>
  <r>
    <s v="O00527"/>
    <d v="2025-04-22T00:00:00"/>
    <x v="1"/>
    <s v="C0184"/>
    <x v="24"/>
    <s v="No Campaign"/>
    <x v="1"/>
    <n v="5"/>
    <n v="0.1"/>
    <n v="914.31"/>
    <n v="103.16"/>
    <n v="0.1128282529995297"/>
  </r>
  <r>
    <s v="O00528"/>
    <d v="2024-08-31T00:00:00"/>
    <x v="11"/>
    <s v="C0048"/>
    <x v="9"/>
    <s v="No Campaign"/>
    <x v="1"/>
    <n v="2"/>
    <n v="0"/>
    <n v="321.45999999999998"/>
    <n v="112.04"/>
    <n v="0.34853480992969582"/>
  </r>
  <r>
    <s v="O00529"/>
    <d v="2025-04-28T00:00:00"/>
    <x v="1"/>
    <s v="C0206"/>
    <x v="28"/>
    <s v="No Campaign"/>
    <x v="1"/>
    <n v="3"/>
    <n v="0.15"/>
    <n v="286.36"/>
    <n v="142.24"/>
    <n v="0.49671741863388741"/>
  </r>
  <r>
    <s v="O00530"/>
    <d v="2024-11-23T00:00:00"/>
    <x v="8"/>
    <s v="C0245"/>
    <x v="22"/>
    <s v="No Campaign"/>
    <x v="1"/>
    <n v="2"/>
    <n v="0"/>
    <n v="250.54"/>
    <n v="50.36"/>
    <n v="0.20100582741278838"/>
  </r>
  <r>
    <s v="O00531"/>
    <d v="2025-04-01T00:00:00"/>
    <x v="1"/>
    <s v="C0068"/>
    <x v="12"/>
    <s v="CA001"/>
    <x v="0"/>
    <n v="2"/>
    <n v="0"/>
    <n v="669.22"/>
    <n v="295.62"/>
    <n v="0.44173814291264457"/>
  </r>
  <r>
    <s v="O00532"/>
    <d v="2024-11-19T00:00:00"/>
    <x v="8"/>
    <s v="C0214"/>
    <x v="25"/>
    <s v="No Campaign"/>
    <x v="1"/>
    <n v="5"/>
    <n v="0.3"/>
    <n v="1516.09"/>
    <n v="639.79"/>
    <n v="0.422000013191829"/>
  </r>
  <r>
    <s v="O00533"/>
    <d v="2025-03-02T00:00:00"/>
    <x v="4"/>
    <s v="C0225"/>
    <x v="6"/>
    <s v="No Campaign"/>
    <x v="1"/>
    <n v="3"/>
    <n v="0.2"/>
    <n v="726.84"/>
    <n v="69.27"/>
    <n v="9.530295525837873E-2"/>
  </r>
  <r>
    <s v="O00534"/>
    <d v="2024-09-06T00:00:00"/>
    <x v="7"/>
    <s v="C0015"/>
    <x v="14"/>
    <s v="CA003"/>
    <x v="0"/>
    <n v="4"/>
    <n v="0.15"/>
    <n v="329.09"/>
    <n v="68.849999999999994"/>
    <n v="0.20921328511957216"/>
  </r>
  <r>
    <s v="O00535"/>
    <d v="2025-05-27T00:00:00"/>
    <x v="0"/>
    <s v="C0058"/>
    <x v="24"/>
    <s v="No Campaign"/>
    <x v="1"/>
    <n v="4"/>
    <n v="0"/>
    <n v="812.72"/>
    <n v="163.80000000000001"/>
    <n v="0.20154542769957673"/>
  </r>
  <r>
    <s v="O00536"/>
    <d v="2024-08-17T00:00:00"/>
    <x v="11"/>
    <s v="C0033"/>
    <x v="15"/>
    <s v="No Campaign"/>
    <x v="1"/>
    <n v="1"/>
    <n v="0.3"/>
    <n v="45.16"/>
    <n v="16.86"/>
    <n v="0.37333923826395043"/>
  </r>
  <r>
    <s v="O00537"/>
    <d v="2024-12-14T00:00:00"/>
    <x v="5"/>
    <s v="C0269"/>
    <x v="10"/>
    <s v="CA004"/>
    <x v="0"/>
    <n v="3"/>
    <n v="0.2"/>
    <n v="721.44"/>
    <n v="36.869999999999997"/>
    <n v="5.1106121091151022E-2"/>
  </r>
  <r>
    <s v="O00538"/>
    <d v="2025-04-05T00:00:00"/>
    <x v="1"/>
    <s v="C0268"/>
    <x v="12"/>
    <s v="CA002"/>
    <x v="0"/>
    <n v="4"/>
    <n v="0.3"/>
    <n v="936.91"/>
    <n v="189.71"/>
    <n v="0.20248476374464999"/>
  </r>
  <r>
    <s v="O00539"/>
    <d v="2024-12-24T00:00:00"/>
    <x v="5"/>
    <s v="C0128"/>
    <x v="21"/>
    <s v="No Campaign"/>
    <x v="1"/>
    <n v="4"/>
    <n v="0.05"/>
    <n v="751.22"/>
    <n v="368.66"/>
    <n v="0.49074838263092041"/>
  </r>
  <r>
    <s v="O00540"/>
    <d v="2024-10-17T00:00:00"/>
    <x v="9"/>
    <s v="C0286"/>
    <x v="24"/>
    <s v="CA001"/>
    <x v="0"/>
    <n v="1"/>
    <n v="0.3"/>
    <n v="142.22999999999999"/>
    <n v="-20"/>
    <n v="-0.14061730999085989"/>
  </r>
  <r>
    <s v="O00541"/>
    <d v="2024-10-11T00:00:00"/>
    <x v="9"/>
    <s v="C0081"/>
    <x v="7"/>
    <s v="No Campaign"/>
    <x v="1"/>
    <n v="4"/>
    <n v="0.05"/>
    <n v="1784.44"/>
    <n v="546.20000000000005"/>
    <n v="0.30609042612808501"/>
  </r>
  <r>
    <s v="O00542"/>
    <d v="2025-04-19T00:00:00"/>
    <x v="1"/>
    <s v="C0039"/>
    <x v="10"/>
    <s v="No Campaign"/>
    <x v="1"/>
    <n v="3"/>
    <n v="0.05"/>
    <n v="856.71"/>
    <n v="172.14"/>
    <n v="0.20093147039254822"/>
  </r>
  <r>
    <s v="O00543"/>
    <d v="2024-08-01T00:00:00"/>
    <x v="11"/>
    <s v="C0170"/>
    <x v="15"/>
    <s v="CA001"/>
    <x v="0"/>
    <n v="5"/>
    <n v="0.05"/>
    <n v="306.47000000000003"/>
    <n v="164.97"/>
    <n v="0.53829086044311025"/>
  </r>
  <r>
    <s v="O00544"/>
    <d v="2024-08-19T00:00:00"/>
    <x v="11"/>
    <s v="C0282"/>
    <x v="8"/>
    <s v="No Campaign"/>
    <x v="1"/>
    <n v="4"/>
    <n v="0.05"/>
    <n v="1574.99"/>
    <n v="377.99"/>
    <n v="0.23999517457253697"/>
  </r>
  <r>
    <s v="O00545"/>
    <d v="2024-10-28T00:00:00"/>
    <x v="9"/>
    <s v="C0041"/>
    <x v="0"/>
    <s v="No Campaign"/>
    <x v="1"/>
    <n v="5"/>
    <n v="0.15"/>
    <n v="860.46"/>
    <n v="271.95999999999998"/>
    <n v="0.31606350091811353"/>
  </r>
  <r>
    <s v="O00546"/>
    <d v="2025-02-06T00:00:00"/>
    <x v="2"/>
    <s v="C0046"/>
    <x v="14"/>
    <s v="No Campaign"/>
    <x v="1"/>
    <n v="4"/>
    <n v="0.1"/>
    <n v="348.44"/>
    <n v="88.2"/>
    <n v="0.25312822867638618"/>
  </r>
  <r>
    <s v="O00547"/>
    <d v="2024-07-06T00:00:00"/>
    <x v="10"/>
    <s v="C0061"/>
    <x v="21"/>
    <s v="CA001"/>
    <x v="0"/>
    <n v="1"/>
    <n v="0.15"/>
    <n v="168.04"/>
    <n v="72.400000000000006"/>
    <n v="0.43084979766722215"/>
  </r>
  <r>
    <s v="O00548"/>
    <d v="2025-03-22T00:00:00"/>
    <x v="4"/>
    <s v="C0212"/>
    <x v="13"/>
    <s v="CA001"/>
    <x v="0"/>
    <n v="1"/>
    <n v="0.2"/>
    <n v="55.36"/>
    <n v="7.18"/>
    <n v="0.12969653179190752"/>
  </r>
  <r>
    <s v="O00549"/>
    <d v="2025-05-12T00:00:00"/>
    <x v="0"/>
    <s v="C0156"/>
    <x v="24"/>
    <s v="CA004"/>
    <x v="0"/>
    <n v="4"/>
    <n v="0.1"/>
    <n v="731.45"/>
    <n v="82.53"/>
    <n v="0.11283067878870735"/>
  </r>
  <r>
    <s v="O00550"/>
    <d v="2025-04-27T00:00:00"/>
    <x v="1"/>
    <s v="C0187"/>
    <x v="23"/>
    <s v="CA001"/>
    <x v="0"/>
    <n v="2"/>
    <n v="0.15"/>
    <n v="650.73"/>
    <n v="80.81"/>
    <n v="0.1241836091773854"/>
  </r>
  <r>
    <s v="O00551"/>
    <d v="2025-03-02T00:00:00"/>
    <x v="4"/>
    <s v="C0170"/>
    <x v="11"/>
    <s v="No Campaign"/>
    <x v="1"/>
    <n v="3"/>
    <n v="0.3"/>
    <n v="776.96"/>
    <n v="260.45"/>
    <n v="0.33521674217462927"/>
  </r>
  <r>
    <s v="O00552"/>
    <d v="2024-08-23T00:00:00"/>
    <x v="11"/>
    <s v="C0232"/>
    <x v="3"/>
    <s v="CA002"/>
    <x v="0"/>
    <n v="2"/>
    <n v="0"/>
    <n v="525.14"/>
    <n v="309.5"/>
    <n v="0.58936664508512016"/>
  </r>
  <r>
    <s v="O00553"/>
    <d v="2025-03-26T00:00:00"/>
    <x v="4"/>
    <s v="C0175"/>
    <x v="9"/>
    <s v="CA005"/>
    <x v="0"/>
    <n v="5"/>
    <n v="0.2"/>
    <n v="642.91999999999996"/>
    <n v="119.37"/>
    <n v="0.18566851241211974"/>
  </r>
  <r>
    <s v="O00554"/>
    <d v="2024-07-07T00:00:00"/>
    <x v="10"/>
    <s v="C0192"/>
    <x v="12"/>
    <s v="CA002"/>
    <x v="0"/>
    <n v="1"/>
    <n v="0.05"/>
    <n v="317.88"/>
    <n v="131.08000000000001"/>
    <n v="0.41235686422549395"/>
  </r>
  <r>
    <s v="O00555"/>
    <d v="2024-09-19T00:00:00"/>
    <x v="7"/>
    <s v="C0253"/>
    <x v="29"/>
    <s v="No Campaign"/>
    <x v="1"/>
    <n v="1"/>
    <n v="0.1"/>
    <n v="298.75"/>
    <n v="93.62"/>
    <n v="0.31337238493723851"/>
  </r>
  <r>
    <s v="O00556"/>
    <d v="2025-05-13T00:00:00"/>
    <x v="0"/>
    <s v="C0101"/>
    <x v="1"/>
    <s v="CA002"/>
    <x v="0"/>
    <n v="4"/>
    <n v="0.05"/>
    <n v="1545.8"/>
    <n v="440.56"/>
    <n v="0.28500452839953422"/>
  </r>
  <r>
    <s v="O00557"/>
    <d v="2025-05-08T00:00:00"/>
    <x v="0"/>
    <s v="C0235"/>
    <x v="23"/>
    <s v="CA004"/>
    <x v="0"/>
    <n v="3"/>
    <n v="0"/>
    <n v="1148.3399999999999"/>
    <n v="293.45999999999998"/>
    <n v="0.25555149171848057"/>
  </r>
  <r>
    <s v="O00558"/>
    <d v="2024-08-04T00:00:00"/>
    <x v="11"/>
    <s v="C0213"/>
    <x v="13"/>
    <s v="CA002"/>
    <x v="0"/>
    <n v="4"/>
    <n v="0.15"/>
    <n v="235.28"/>
    <n v="42.56"/>
    <n v="0.18089085345120709"/>
  </r>
  <r>
    <s v="O00559"/>
    <d v="2025-04-18T00:00:00"/>
    <x v="1"/>
    <s v="C0259"/>
    <x v="29"/>
    <s v="No Campaign"/>
    <x v="1"/>
    <n v="1"/>
    <n v="0.2"/>
    <n v="265.55"/>
    <n v="60.42"/>
    <n v="0.22752777254754283"/>
  </r>
  <r>
    <s v="O00560"/>
    <d v="2024-11-26T00:00:00"/>
    <x v="8"/>
    <s v="C0025"/>
    <x v="11"/>
    <s v="No Campaign"/>
    <x v="1"/>
    <n v="5"/>
    <n v="0.15"/>
    <n v="1572.42"/>
    <n v="711.57"/>
    <n v="0.45253176632197506"/>
  </r>
  <r>
    <s v="O00561"/>
    <d v="2025-06-30T00:00:00"/>
    <x v="6"/>
    <s v="C0261"/>
    <x v="10"/>
    <s v="CA003"/>
    <x v="0"/>
    <n v="5"/>
    <n v="0.05"/>
    <n v="1427.85"/>
    <n v="286.89999999999998"/>
    <n v="0.20093147039254824"/>
  </r>
  <r>
    <s v="O00562"/>
    <d v="2025-06-16T00:00:00"/>
    <x v="6"/>
    <s v="C0066"/>
    <x v="3"/>
    <s v="No Campaign"/>
    <x v="1"/>
    <n v="5"/>
    <n v="0.2"/>
    <n v="1050.28"/>
    <n v="511.18"/>
    <n v="0.48670830635640022"/>
  </r>
  <r>
    <s v="O00563"/>
    <d v="2025-05-17T00:00:00"/>
    <x v="0"/>
    <s v="C0165"/>
    <x v="7"/>
    <s v="No Campaign"/>
    <x v="1"/>
    <n v="4"/>
    <n v="0.2"/>
    <n v="1502.69"/>
    <n v="264.45"/>
    <n v="0.17598440130698945"/>
  </r>
  <r>
    <s v="O00564"/>
    <d v="2025-02-25T00:00:00"/>
    <x v="2"/>
    <s v="C0128"/>
    <x v="15"/>
    <s v="No Campaign"/>
    <x v="1"/>
    <n v="3"/>
    <n v="0.1"/>
    <n v="174.2"/>
    <n v="89.3"/>
    <n v="0.5126291618828932"/>
  </r>
  <r>
    <s v="O00565"/>
    <d v="2024-09-01T00:00:00"/>
    <x v="7"/>
    <s v="C0232"/>
    <x v="22"/>
    <s v="CA003"/>
    <x v="0"/>
    <n v="2"/>
    <n v="0.15"/>
    <n v="212.96"/>
    <n v="12.78"/>
    <n v="6.0011269722013517E-2"/>
  </r>
  <r>
    <s v="O00566"/>
    <d v="2025-01-24T00:00:00"/>
    <x v="3"/>
    <s v="C0263"/>
    <x v="17"/>
    <s v="No Campaign"/>
    <x v="1"/>
    <n v="5"/>
    <n v="0.3"/>
    <n v="514.4"/>
    <n v="207.7"/>
    <n v="0.40377138413685848"/>
  </r>
  <r>
    <s v="O00567"/>
    <d v="2024-11-07T00:00:00"/>
    <x v="8"/>
    <s v="C0112"/>
    <x v="1"/>
    <s v="CA004"/>
    <x v="0"/>
    <n v="5"/>
    <n v="0.3"/>
    <n v="1423.76"/>
    <n v="42.21"/>
    <n v="2.964685059279654E-2"/>
  </r>
  <r>
    <s v="O00568"/>
    <d v="2025-05-20T00:00:00"/>
    <x v="0"/>
    <s v="C0149"/>
    <x v="19"/>
    <s v="No Campaign"/>
    <x v="1"/>
    <n v="2"/>
    <n v="0.3"/>
    <n v="72.48"/>
    <n v="-6.76"/>
    <n v="-9.326710816777041E-2"/>
  </r>
  <r>
    <s v="O00569"/>
    <d v="2025-03-11T00:00:00"/>
    <x v="4"/>
    <s v="C0092"/>
    <x v="7"/>
    <s v="No Campaign"/>
    <x v="1"/>
    <n v="1"/>
    <n v="0.1"/>
    <n v="422.63"/>
    <n v="113.07"/>
    <n v="0.26753898208835147"/>
  </r>
  <r>
    <s v="O00570"/>
    <d v="2025-03-05T00:00:00"/>
    <x v="4"/>
    <s v="C0288"/>
    <x v="21"/>
    <s v="No Campaign"/>
    <x v="1"/>
    <n v="5"/>
    <n v="0.1"/>
    <n v="889.6"/>
    <n v="411.4"/>
    <n v="0.46245503597122301"/>
  </r>
  <r>
    <s v="O00571"/>
    <d v="2025-05-25T00:00:00"/>
    <x v="0"/>
    <s v="C0217"/>
    <x v="22"/>
    <s v="CA001"/>
    <x v="0"/>
    <n v="5"/>
    <n v="0"/>
    <n v="626.35"/>
    <n v="125.9"/>
    <n v="0.20100582741278838"/>
  </r>
  <r>
    <s v="O00572"/>
    <d v="2025-03-22T00:00:00"/>
    <x v="4"/>
    <s v="C0013"/>
    <x v="28"/>
    <s v="CA003"/>
    <x v="0"/>
    <n v="1"/>
    <n v="0.3"/>
    <n v="78.61"/>
    <n v="30.57"/>
    <n v="0.3888818216511894"/>
  </r>
  <r>
    <s v="O00573"/>
    <d v="2025-04-28T00:00:00"/>
    <x v="1"/>
    <s v="C0029"/>
    <x v="1"/>
    <s v="CA005"/>
    <x v="0"/>
    <n v="2"/>
    <n v="0.1"/>
    <n v="732.22"/>
    <n v="179.6"/>
    <n v="0.24528147278140447"/>
  </r>
  <r>
    <s v="O00574"/>
    <d v="2024-07-25T00:00:00"/>
    <x v="10"/>
    <s v="C0129"/>
    <x v="29"/>
    <s v="CA001"/>
    <x v="0"/>
    <n v="3"/>
    <n v="0.05"/>
    <n v="946.03"/>
    <n v="330.64"/>
    <n v="0.34950265847806095"/>
  </r>
  <r>
    <s v="O00575"/>
    <d v="2024-12-22T00:00:00"/>
    <x v="5"/>
    <s v="C0278"/>
    <x v="13"/>
    <s v="No Campaign"/>
    <x v="1"/>
    <n v="4"/>
    <n v="0"/>
    <n v="276.8"/>
    <n v="84.08"/>
    <n v="0.30375722543352601"/>
  </r>
  <r>
    <s v="O00576"/>
    <d v="2025-02-01T00:00:00"/>
    <x v="2"/>
    <s v="C0288"/>
    <x v="14"/>
    <s v="CA004"/>
    <x v="0"/>
    <n v="5"/>
    <n v="0.15"/>
    <n v="411.36"/>
    <n v="86.06"/>
    <n v="0.20920847919097627"/>
  </r>
  <r>
    <s v="O00577"/>
    <d v="2024-11-23T00:00:00"/>
    <x v="8"/>
    <s v="C0122"/>
    <x v="7"/>
    <s v="CA005"/>
    <x v="0"/>
    <n v="1"/>
    <n v="0.15"/>
    <n v="399.15"/>
    <n v="89.59"/>
    <n v="0.22445196041588378"/>
  </r>
  <r>
    <s v="O00578"/>
    <d v="2024-08-23T00:00:00"/>
    <x v="11"/>
    <s v="C0199"/>
    <x v="2"/>
    <s v="No Campaign"/>
    <x v="1"/>
    <n v="5"/>
    <n v="0"/>
    <n v="794.55"/>
    <n v="451.35"/>
    <n v="0.56805739097602426"/>
  </r>
  <r>
    <s v="O00579"/>
    <d v="2024-12-25T00:00:00"/>
    <x v="5"/>
    <s v="C0007"/>
    <x v="18"/>
    <s v="CA005"/>
    <x v="0"/>
    <n v="2"/>
    <n v="0.2"/>
    <n v="235.42"/>
    <n v="88.68"/>
    <n v="0.37668847166765784"/>
  </r>
  <r>
    <s v="O00580"/>
    <d v="2024-12-17T00:00:00"/>
    <x v="5"/>
    <s v="C0227"/>
    <x v="23"/>
    <s v="CA004"/>
    <x v="0"/>
    <n v="3"/>
    <n v="0.2"/>
    <n v="918.67"/>
    <n v="63.79"/>
    <n v="6.9437338761470388E-2"/>
  </r>
  <r>
    <s v="O00581"/>
    <d v="2024-11-03T00:00:00"/>
    <x v="8"/>
    <s v="C0280"/>
    <x v="18"/>
    <s v="CA004"/>
    <x v="0"/>
    <n v="2"/>
    <n v="0.1"/>
    <n v="264.85000000000002"/>
    <n v="118.11"/>
    <n v="0.44595053804040019"/>
  </r>
  <r>
    <s v="O00582"/>
    <d v="2025-06-27T00:00:00"/>
    <x v="6"/>
    <s v="C0230"/>
    <x v="6"/>
    <s v="CA002"/>
    <x v="0"/>
    <n v="2"/>
    <n v="0.05"/>
    <n v="575.41999999999996"/>
    <n v="137.04"/>
    <n v="0.23815647700809844"/>
  </r>
  <r>
    <s v="O00583"/>
    <d v="2024-07-19T00:00:00"/>
    <x v="10"/>
    <s v="C0264"/>
    <x v="3"/>
    <s v="No Campaign"/>
    <x v="1"/>
    <n v="1"/>
    <n v="0.15"/>
    <n v="223.18"/>
    <n v="115.36"/>
    <n v="0.51689219464109681"/>
  </r>
  <r>
    <s v="O00584"/>
    <d v="2025-06-28T00:00:00"/>
    <x v="6"/>
    <s v="C0143"/>
    <x v="11"/>
    <s v="CA005"/>
    <x v="0"/>
    <n v="2"/>
    <n v="0.05"/>
    <n v="702.96"/>
    <n v="358.62"/>
    <n v="0.51015705018777735"/>
  </r>
  <r>
    <s v="O00585"/>
    <d v="2025-02-23T00:00:00"/>
    <x v="2"/>
    <s v="C0300"/>
    <x v="14"/>
    <s v="CA005"/>
    <x v="0"/>
    <n v="1"/>
    <n v="0.1"/>
    <n v="87.11"/>
    <n v="22.05"/>
    <n v="0.25312822867638618"/>
  </r>
  <r>
    <s v="O00586"/>
    <d v="2024-09-04T00:00:00"/>
    <x v="7"/>
    <s v="C0239"/>
    <x v="12"/>
    <s v="CA003"/>
    <x v="0"/>
    <n v="1"/>
    <n v="0.05"/>
    <n v="317.88"/>
    <n v="131.08000000000001"/>
    <n v="0.41235686422549395"/>
  </r>
  <r>
    <s v="O00587"/>
    <d v="2024-11-09T00:00:00"/>
    <x v="8"/>
    <s v="C0166"/>
    <x v="16"/>
    <s v="CA001"/>
    <x v="0"/>
    <n v="5"/>
    <n v="0.3"/>
    <n v="614.80999999999995"/>
    <n v="-6.44"/>
    <n v="-1.0474780826596836E-2"/>
  </r>
  <r>
    <s v="O00588"/>
    <d v="2025-02-19T00:00:00"/>
    <x v="2"/>
    <s v="C0155"/>
    <x v="21"/>
    <s v="No Campaign"/>
    <x v="1"/>
    <n v="1"/>
    <n v="0.3"/>
    <n v="138.38"/>
    <n v="42.74"/>
    <n v="0.30885966180083829"/>
  </r>
  <r>
    <s v="O00589"/>
    <d v="2025-03-17T00:00:00"/>
    <x v="4"/>
    <s v="C0163"/>
    <x v="7"/>
    <s v="CA004"/>
    <x v="0"/>
    <n v="2"/>
    <n v="0.2"/>
    <n v="751.34"/>
    <n v="132.22"/>
    <n v="0.17597891766710144"/>
  </r>
  <r>
    <s v="O00590"/>
    <d v="2024-09-03T00:00:00"/>
    <x v="7"/>
    <s v="C0035"/>
    <x v="22"/>
    <s v="CA003"/>
    <x v="0"/>
    <n v="4"/>
    <n v="0.2"/>
    <n v="400.86"/>
    <n v="0.5"/>
    <n v="1.2473182657286833E-3"/>
  </r>
  <r>
    <s v="O00591"/>
    <d v="2025-06-16T00:00:00"/>
    <x v="6"/>
    <s v="C0275"/>
    <x v="28"/>
    <s v="CA002"/>
    <x v="0"/>
    <n v="3"/>
    <n v="0.05"/>
    <n v="320.05"/>
    <n v="175.93"/>
    <n v="0.54969536009998443"/>
  </r>
  <r>
    <s v="O00592"/>
    <d v="2025-01-06T00:00:00"/>
    <x v="3"/>
    <s v="C0110"/>
    <x v="19"/>
    <s v="No Campaign"/>
    <x v="1"/>
    <n v="3"/>
    <n v="0.1"/>
    <n v="139.78"/>
    <n v="20.92"/>
    <n v="0.14966375733295179"/>
  </r>
  <r>
    <s v="O00593"/>
    <d v="2025-02-13T00:00:00"/>
    <x v="2"/>
    <s v="C0151"/>
    <x v="1"/>
    <s v="No Campaign"/>
    <x v="1"/>
    <n v="5"/>
    <n v="0.3"/>
    <n v="1423.76"/>
    <n v="42.21"/>
    <n v="2.964685059279654E-2"/>
  </r>
  <r>
    <s v="O00594"/>
    <d v="2025-05-12T00:00:00"/>
    <x v="0"/>
    <s v="C0005"/>
    <x v="3"/>
    <s v="No Campaign"/>
    <x v="1"/>
    <n v="4"/>
    <n v="0.05"/>
    <n v="997.77"/>
    <n v="566.49"/>
    <n v="0.56775609609429034"/>
  </r>
  <r>
    <s v="O00595"/>
    <d v="2024-10-03T00:00:00"/>
    <x v="9"/>
    <s v="C0125"/>
    <x v="13"/>
    <s v="No Campaign"/>
    <x v="1"/>
    <n v="4"/>
    <n v="0"/>
    <n v="276.8"/>
    <n v="84.08"/>
    <n v="0.30375722543352601"/>
  </r>
  <r>
    <s v="O00596"/>
    <d v="2024-10-05T00:00:00"/>
    <x v="9"/>
    <s v="C0198"/>
    <x v="15"/>
    <s v="CA005"/>
    <x v="0"/>
    <n v="1"/>
    <n v="0.2"/>
    <n v="51.62"/>
    <n v="23.32"/>
    <n v="0.451762882603642"/>
  </r>
  <r>
    <s v="O00597"/>
    <d v="2025-05-30T00:00:00"/>
    <x v="0"/>
    <s v="C0192"/>
    <x v="7"/>
    <s v="No Campaign"/>
    <x v="1"/>
    <n v="4"/>
    <n v="0"/>
    <n v="1878.36"/>
    <n v="640.12"/>
    <n v="0.34078664366788053"/>
  </r>
  <r>
    <s v="O00598"/>
    <d v="2025-03-09T00:00:00"/>
    <x v="4"/>
    <s v="C0152"/>
    <x v="24"/>
    <s v="CA004"/>
    <x v="0"/>
    <n v="3"/>
    <n v="0.2"/>
    <n v="487.63"/>
    <n v="0.94"/>
    <n v="1.9276910772511944E-3"/>
  </r>
  <r>
    <s v="O00599"/>
    <d v="2025-05-29T00:00:00"/>
    <x v="0"/>
    <s v="C0043"/>
    <x v="3"/>
    <s v="CA003"/>
    <x v="0"/>
    <n v="5"/>
    <n v="0.2"/>
    <n v="1050.28"/>
    <n v="511.18"/>
    <n v="0.48670830635640022"/>
  </r>
  <r>
    <s v="O00600"/>
    <d v="2024-11-24T00:00:00"/>
    <x v="8"/>
    <s v="C0004"/>
    <x v="8"/>
    <s v="CA002"/>
    <x v="0"/>
    <n v="2"/>
    <n v="0.3"/>
    <n v="580.26"/>
    <n v="-18.239999999999998"/>
    <n v="-3.1434184675834968E-2"/>
  </r>
  <r>
    <s v="O00601"/>
    <d v="2024-08-31T00:00:00"/>
    <x v="11"/>
    <s v="C0110"/>
    <x v="14"/>
    <s v="No Campaign"/>
    <x v="1"/>
    <n v="1"/>
    <n v="0.05"/>
    <n v="91.95"/>
    <n v="26.89"/>
    <n v="0.29244154431756392"/>
  </r>
  <r>
    <s v="O00602"/>
    <d v="2024-09-08T00:00:00"/>
    <x v="7"/>
    <s v="C0276"/>
    <x v="23"/>
    <s v="No Campaign"/>
    <x v="1"/>
    <n v="1"/>
    <n v="0.3"/>
    <n v="267.95"/>
    <n v="-17.010000000000002"/>
    <n v="-6.3481992909124846E-2"/>
  </r>
  <r>
    <s v="O00603"/>
    <d v="2025-05-20T00:00:00"/>
    <x v="0"/>
    <s v="C0079"/>
    <x v="5"/>
    <s v="No Campaign"/>
    <x v="1"/>
    <n v="3"/>
    <n v="0"/>
    <n v="1127.82"/>
    <n v="566.22"/>
    <n v="0.50204819918072041"/>
  </r>
  <r>
    <s v="O00604"/>
    <d v="2024-06-30T00:00:00"/>
    <x v="12"/>
    <s v="C0045"/>
    <x v="4"/>
    <s v="CA001"/>
    <x v="0"/>
    <n v="2"/>
    <n v="0.1"/>
    <n v="400.54"/>
    <n v="217.22"/>
    <n v="0.5423178708743196"/>
  </r>
  <r>
    <s v="O00605"/>
    <d v="2024-11-01T00:00:00"/>
    <x v="8"/>
    <s v="C0286"/>
    <x v="4"/>
    <s v="CA004"/>
    <x v="0"/>
    <n v="3"/>
    <n v="0.15"/>
    <n v="567.42999999999995"/>
    <n v="292.45"/>
    <n v="0.515393969300178"/>
  </r>
  <r>
    <s v="O00606"/>
    <d v="2024-10-06T00:00:00"/>
    <x v="9"/>
    <s v="C0199"/>
    <x v="0"/>
    <s v="No Campaign"/>
    <x v="1"/>
    <n v="4"/>
    <n v="0.1"/>
    <n v="728.86"/>
    <n v="258.06"/>
    <n v="0.35405976456383942"/>
  </r>
  <r>
    <s v="O00607"/>
    <d v="2025-05-02T00:00:00"/>
    <x v="0"/>
    <s v="C0009"/>
    <x v="28"/>
    <s v="CA002"/>
    <x v="0"/>
    <n v="5"/>
    <n v="0"/>
    <n v="561.5"/>
    <n v="321.3"/>
    <n v="0.57221727515583265"/>
  </r>
  <r>
    <s v="O00608"/>
    <d v="2024-08-31T00:00:00"/>
    <x v="11"/>
    <s v="C0033"/>
    <x v="10"/>
    <s v="CA001"/>
    <x v="0"/>
    <n v="1"/>
    <n v="0.1"/>
    <n v="270.54000000000002"/>
    <n v="42.35"/>
    <n v="0.15653877430324536"/>
  </r>
  <r>
    <s v="O00609"/>
    <d v="2024-11-11T00:00:00"/>
    <x v="8"/>
    <s v="C0258"/>
    <x v="3"/>
    <s v="CA005"/>
    <x v="0"/>
    <n v="3"/>
    <n v="0.2"/>
    <n v="630.16999999999996"/>
    <n v="306.70999999999998"/>
    <n v="0.48670993541425328"/>
  </r>
  <r>
    <s v="O00610"/>
    <d v="2024-08-28T00:00:00"/>
    <x v="11"/>
    <s v="C0045"/>
    <x v="17"/>
    <s v="No Campaign"/>
    <x v="1"/>
    <n v="4"/>
    <n v="0.15"/>
    <n v="499.7"/>
    <n v="254.34"/>
    <n v="0.50898539123474085"/>
  </r>
  <r>
    <s v="O00611"/>
    <d v="2024-07-01T00:00:00"/>
    <x v="10"/>
    <s v="C0016"/>
    <x v="21"/>
    <s v="CA003"/>
    <x v="0"/>
    <n v="5"/>
    <n v="0.05"/>
    <n v="939.03"/>
    <n v="460.83"/>
    <n v="0.49075109421424234"/>
  </r>
  <r>
    <s v="O00612"/>
    <d v="2024-08-15T00:00:00"/>
    <x v="11"/>
    <s v="C0070"/>
    <x v="18"/>
    <s v="No Campaign"/>
    <x v="1"/>
    <n v="5"/>
    <n v="0.1"/>
    <n v="662.13"/>
    <n v="295.27999999999997"/>
    <n v="0.44595472188240975"/>
  </r>
  <r>
    <s v="O00613"/>
    <d v="2025-04-19T00:00:00"/>
    <x v="1"/>
    <s v="C0074"/>
    <x v="17"/>
    <s v="No Campaign"/>
    <x v="1"/>
    <n v="1"/>
    <n v="0.2"/>
    <n v="117.58"/>
    <n v="56.24"/>
    <n v="0.47831263820377617"/>
  </r>
  <r>
    <s v="O00614"/>
    <d v="2025-04-16T00:00:00"/>
    <x v="1"/>
    <s v="C0285"/>
    <x v="29"/>
    <s v="CA002"/>
    <x v="0"/>
    <n v="1"/>
    <n v="0"/>
    <n v="331.94"/>
    <n v="126.81"/>
    <n v="0.38202687232632404"/>
  </r>
  <r>
    <s v="O00615"/>
    <d v="2024-07-11T00:00:00"/>
    <x v="10"/>
    <s v="C0294"/>
    <x v="16"/>
    <s v="No Campaign"/>
    <x v="1"/>
    <n v="5"/>
    <n v="0.2"/>
    <n v="702.64"/>
    <n v="81.39"/>
    <n v="0.11583456677672778"/>
  </r>
  <r>
    <s v="O00616"/>
    <d v="2024-11-14T00:00:00"/>
    <x v="8"/>
    <s v="C0044"/>
    <x v="17"/>
    <s v="CA004"/>
    <x v="0"/>
    <n v="3"/>
    <n v="0.05"/>
    <n v="418.86"/>
    <n v="234.84"/>
    <n v="0.56066466122332048"/>
  </r>
  <r>
    <s v="O00617"/>
    <d v="2024-12-08T00:00:00"/>
    <x v="5"/>
    <s v="C0212"/>
    <x v="24"/>
    <s v="CA003"/>
    <x v="0"/>
    <n v="2"/>
    <n v="0.05"/>
    <n v="386.04"/>
    <n v="61.58"/>
    <n v="0.15951714848202259"/>
  </r>
  <r>
    <s v="O00618"/>
    <d v="2024-12-19T00:00:00"/>
    <x v="5"/>
    <s v="C0114"/>
    <x v="16"/>
    <s v="CA005"/>
    <x v="0"/>
    <n v="2"/>
    <n v="0"/>
    <n v="351.32"/>
    <n v="102.82"/>
    <n v="0.29266765342138218"/>
  </r>
  <r>
    <s v="O00619"/>
    <d v="2024-10-14T00:00:00"/>
    <x v="9"/>
    <s v="C0093"/>
    <x v="19"/>
    <s v="CA001"/>
    <x v="0"/>
    <n v="5"/>
    <n v="0.15"/>
    <n v="220.02"/>
    <n v="21.92"/>
    <n v="9.9627306608490146E-2"/>
  </r>
  <r>
    <s v="O00620"/>
    <d v="2024-08-09T00:00:00"/>
    <x v="11"/>
    <s v="C0282"/>
    <x v="4"/>
    <s v="CA005"/>
    <x v="0"/>
    <n v="1"/>
    <n v="0.1"/>
    <n v="200.27"/>
    <n v="108.61"/>
    <n v="0.5423178708743196"/>
  </r>
  <r>
    <s v="O00621"/>
    <d v="2025-06-30T00:00:00"/>
    <x v="6"/>
    <s v="C0051"/>
    <x v="1"/>
    <s v="No Campaign"/>
    <x v="1"/>
    <n v="3"/>
    <n v="0.1"/>
    <n v="1098.33"/>
    <n v="269.39999999999998"/>
    <n v="0.2452814727814045"/>
  </r>
  <r>
    <s v="O00622"/>
    <d v="2025-01-01T00:00:00"/>
    <x v="3"/>
    <s v="C0066"/>
    <x v="19"/>
    <s v="CA004"/>
    <x v="0"/>
    <n v="1"/>
    <n v="0.1"/>
    <n v="46.59"/>
    <n v="6.97"/>
    <n v="0.1496029190813479"/>
  </r>
  <r>
    <s v="O00623"/>
    <d v="2024-09-27T00:00:00"/>
    <x v="7"/>
    <s v="C0036"/>
    <x v="24"/>
    <s v="CA004"/>
    <x v="0"/>
    <n v="3"/>
    <n v="0.15"/>
    <n v="518.11"/>
    <n v="31.42"/>
    <n v="6.0643492694601536E-2"/>
  </r>
  <r>
    <s v="O00624"/>
    <d v="2025-01-15T00:00:00"/>
    <x v="3"/>
    <s v="C0231"/>
    <x v="27"/>
    <s v="CA005"/>
    <x v="0"/>
    <n v="5"/>
    <n v="0.05"/>
    <n v="379.62"/>
    <n v="72.37"/>
    <n v="0.19063800642748013"/>
  </r>
  <r>
    <s v="O00625"/>
    <d v="2025-04-07T00:00:00"/>
    <x v="1"/>
    <s v="C0290"/>
    <x v="26"/>
    <s v="No Campaign"/>
    <x v="1"/>
    <n v="3"/>
    <n v="0.15"/>
    <n v="1262.17"/>
    <n v="288.07"/>
    <n v="0.22823391460738252"/>
  </r>
  <r>
    <s v="O00626"/>
    <d v="2024-09-16T00:00:00"/>
    <x v="7"/>
    <s v="C0087"/>
    <x v="5"/>
    <s v="No Campaign"/>
    <x v="1"/>
    <n v="2"/>
    <n v="0.05"/>
    <n v="714.29"/>
    <n v="339.89"/>
    <n v="0.47584314494113034"/>
  </r>
  <r>
    <s v="O00627"/>
    <d v="2025-03-08T00:00:00"/>
    <x v="4"/>
    <s v="C0224"/>
    <x v="15"/>
    <s v="No Campaign"/>
    <x v="1"/>
    <n v="2"/>
    <n v="0.3"/>
    <n v="90.33"/>
    <n v="33.729999999999997"/>
    <n v="0.37340861286394328"/>
  </r>
  <r>
    <s v="O00628"/>
    <d v="2024-11-18T00:00:00"/>
    <x v="8"/>
    <s v="C0170"/>
    <x v="24"/>
    <s v="No Campaign"/>
    <x v="1"/>
    <n v="4"/>
    <n v="0.15"/>
    <n v="690.81"/>
    <n v="41.89"/>
    <n v="6.0638960061377228E-2"/>
  </r>
  <r>
    <s v="O00629"/>
    <d v="2024-07-22T00:00:00"/>
    <x v="10"/>
    <s v="C0184"/>
    <x v="10"/>
    <s v="CA005"/>
    <x v="0"/>
    <n v="4"/>
    <n v="0.2"/>
    <n v="961.92"/>
    <n v="49.16"/>
    <n v="5.1106121091151029E-2"/>
  </r>
  <r>
    <s v="O00630"/>
    <d v="2025-01-14T00:00:00"/>
    <x v="3"/>
    <s v="C0056"/>
    <x v="6"/>
    <s v="CA002"/>
    <x v="0"/>
    <n v="3"/>
    <n v="0.05"/>
    <n v="863.12"/>
    <n v="205.55"/>
    <n v="0.23814765038465105"/>
  </r>
  <r>
    <s v="O00631"/>
    <d v="2025-03-10T00:00:00"/>
    <x v="4"/>
    <s v="C0276"/>
    <x v="1"/>
    <s v="CA005"/>
    <x v="0"/>
    <n v="1"/>
    <n v="0.3"/>
    <n v="284.75"/>
    <n v="8.44"/>
    <n v="2.9640035118525022E-2"/>
  </r>
  <r>
    <s v="O00632"/>
    <d v="2025-04-01T00:00:00"/>
    <x v="1"/>
    <s v="C0039"/>
    <x v="24"/>
    <s v="CA001"/>
    <x v="0"/>
    <n v="5"/>
    <n v="0.3"/>
    <n v="711.13"/>
    <n v="-100.02"/>
    <n v="-0.14064938900060467"/>
  </r>
  <r>
    <s v="O00633"/>
    <d v="2025-03-20T00:00:00"/>
    <x v="4"/>
    <s v="C0016"/>
    <x v="23"/>
    <s v="No Campaign"/>
    <x v="1"/>
    <n v="5"/>
    <n v="0.05"/>
    <n v="1818.2"/>
    <n v="393.4"/>
    <n v="0.21636783632163675"/>
  </r>
  <r>
    <s v="O00634"/>
    <d v="2025-01-29T00:00:00"/>
    <x v="3"/>
    <s v="C0019"/>
    <x v="11"/>
    <s v="CA005"/>
    <x v="0"/>
    <n v="5"/>
    <n v="0.2"/>
    <n v="1479.92"/>
    <n v="619.07000000000005"/>
    <n v="0.41831315206227365"/>
  </r>
  <r>
    <s v="O00635"/>
    <d v="2024-11-05T00:00:00"/>
    <x v="8"/>
    <s v="C0242"/>
    <x v="8"/>
    <s v="CA003"/>
    <x v="0"/>
    <n v="3"/>
    <n v="0.15"/>
    <n v="1056.9000000000001"/>
    <n v="159.15"/>
    <n v="0.15058189043428896"/>
  </r>
  <r>
    <s v="O00636"/>
    <d v="2024-12-21T00:00:00"/>
    <x v="5"/>
    <s v="C0115"/>
    <x v="24"/>
    <s v="CA005"/>
    <x v="0"/>
    <n v="2"/>
    <n v="0.15"/>
    <n v="345.41"/>
    <n v="20.95"/>
    <n v="6.0652557829825419E-2"/>
  </r>
  <r>
    <s v="O00637"/>
    <d v="2025-01-20T00:00:00"/>
    <x v="3"/>
    <s v="C0257"/>
    <x v="7"/>
    <s v="CA002"/>
    <x v="0"/>
    <n v="4"/>
    <n v="0.1"/>
    <n v="1690.52"/>
    <n v="452.28"/>
    <n v="0.26753898208835147"/>
  </r>
  <r>
    <s v="O00638"/>
    <d v="2025-05-27T00:00:00"/>
    <x v="0"/>
    <s v="C0258"/>
    <x v="5"/>
    <s v="CA004"/>
    <x v="0"/>
    <n v="5"/>
    <n v="0.3"/>
    <n v="1315.79"/>
    <n v="379.79"/>
    <n v="0.28864028454388618"/>
  </r>
  <r>
    <s v="O00639"/>
    <d v="2024-07-23T00:00:00"/>
    <x v="10"/>
    <s v="C0085"/>
    <x v="10"/>
    <s v="CA003"/>
    <x v="0"/>
    <n v="4"/>
    <n v="0.05"/>
    <n v="1142.28"/>
    <n v="229.52"/>
    <n v="0.20093147039254824"/>
  </r>
  <r>
    <s v="O00640"/>
    <d v="2025-05-15T00:00:00"/>
    <x v="0"/>
    <s v="C0092"/>
    <x v="26"/>
    <s v="CA003"/>
    <x v="0"/>
    <n v="4"/>
    <n v="0.1"/>
    <n v="1781.89"/>
    <n v="483.09"/>
    <n v="0.27111101134188975"/>
  </r>
  <r>
    <s v="O00641"/>
    <d v="2025-05-10T00:00:00"/>
    <x v="0"/>
    <s v="C0021"/>
    <x v="20"/>
    <s v="No Campaign"/>
    <x v="1"/>
    <n v="2"/>
    <n v="0"/>
    <n v="189.26"/>
    <n v="41.1"/>
    <n v="0.21716157666701894"/>
  </r>
  <r>
    <s v="O00642"/>
    <d v="2025-06-16T00:00:00"/>
    <x v="6"/>
    <s v="C0136"/>
    <x v="9"/>
    <s v="CA004"/>
    <x v="0"/>
    <n v="1"/>
    <n v="0.3"/>
    <n v="112.51"/>
    <n v="7.8"/>
    <n v="6.9327170918140599E-2"/>
  </r>
  <r>
    <s v="O00643"/>
    <d v="2024-09-01T00:00:00"/>
    <x v="7"/>
    <s v="C0106"/>
    <x v="7"/>
    <s v="No Campaign"/>
    <x v="1"/>
    <n v="4"/>
    <n v="0.15"/>
    <n v="1596.61"/>
    <n v="358.37"/>
    <n v="0.22445681788288938"/>
  </r>
  <r>
    <s v="O00644"/>
    <d v="2025-05-18T00:00:00"/>
    <x v="0"/>
    <s v="C0233"/>
    <x v="24"/>
    <s v="CA001"/>
    <x v="0"/>
    <n v="1"/>
    <n v="0.3"/>
    <n v="142.22999999999999"/>
    <n v="-20"/>
    <n v="-0.14061730999085989"/>
  </r>
  <r>
    <s v="O00645"/>
    <d v="2025-05-31T00:00:00"/>
    <x v="0"/>
    <s v="C0166"/>
    <x v="3"/>
    <s v="CA005"/>
    <x v="0"/>
    <n v="3"/>
    <n v="0.2"/>
    <n v="630.16999999999996"/>
    <n v="306.70999999999998"/>
    <n v="0.48670993541425328"/>
  </r>
  <r>
    <s v="O00646"/>
    <d v="2025-06-25T00:00:00"/>
    <x v="6"/>
    <s v="C0279"/>
    <x v="26"/>
    <s v="CA003"/>
    <x v="0"/>
    <n v="4"/>
    <n v="0.3"/>
    <n v="1385.92"/>
    <n v="87.12"/>
    <n v="6.2860771184483952E-2"/>
  </r>
  <r>
    <s v="O00647"/>
    <d v="2024-10-28T00:00:00"/>
    <x v="9"/>
    <s v="C0194"/>
    <x v="9"/>
    <s v="CA002"/>
    <x v="0"/>
    <n v="5"/>
    <n v="0.1"/>
    <n v="723.28"/>
    <n v="199.73"/>
    <n v="0.2761447848689304"/>
  </r>
  <r>
    <s v="O00648"/>
    <d v="2024-07-04T00:00:00"/>
    <x v="10"/>
    <s v="C0193"/>
    <x v="25"/>
    <s v="CA004"/>
    <x v="0"/>
    <n v="5"/>
    <n v="0.15"/>
    <n v="1840.97"/>
    <n v="964.67"/>
    <n v="0.52400093429007533"/>
  </r>
  <r>
    <s v="O00649"/>
    <d v="2024-11-05T00:00:00"/>
    <x v="8"/>
    <s v="C0181"/>
    <x v="23"/>
    <s v="No Campaign"/>
    <x v="1"/>
    <n v="4"/>
    <n v="0.15"/>
    <n v="1301.45"/>
    <n v="161.61000000000001"/>
    <n v="0.12417687963425411"/>
  </r>
  <r>
    <s v="O00650"/>
    <d v="2024-09-24T00:00:00"/>
    <x v="7"/>
    <s v="C0004"/>
    <x v="7"/>
    <s v="CA003"/>
    <x v="0"/>
    <n v="4"/>
    <n v="0.05"/>
    <n v="1784.44"/>
    <n v="546.20000000000005"/>
    <n v="0.30609042612808501"/>
  </r>
  <r>
    <s v="O00651"/>
    <d v="2025-04-01T00:00:00"/>
    <x v="1"/>
    <s v="C0118"/>
    <x v="4"/>
    <s v="CA005"/>
    <x v="0"/>
    <n v="2"/>
    <n v="0.05"/>
    <n v="422.79"/>
    <n v="239.47"/>
    <n v="0.56640412497930415"/>
  </r>
  <r>
    <s v="O00652"/>
    <d v="2025-01-13T00:00:00"/>
    <x v="3"/>
    <s v="C0096"/>
    <x v="6"/>
    <s v="No Campaign"/>
    <x v="1"/>
    <n v="5"/>
    <n v="0.3"/>
    <n v="1059.97"/>
    <n v="-35.979999999999997"/>
    <n v="-3.394435691576176E-2"/>
  </r>
  <r>
    <s v="O00653"/>
    <d v="2025-05-16T00:00:00"/>
    <x v="0"/>
    <s v="C0061"/>
    <x v="19"/>
    <s v="CA004"/>
    <x v="0"/>
    <n v="4"/>
    <n v="0.1"/>
    <n v="186.37"/>
    <n v="27.89"/>
    <n v="0.14964854858614585"/>
  </r>
  <r>
    <s v="O00654"/>
    <d v="2024-12-22T00:00:00"/>
    <x v="5"/>
    <s v="C0059"/>
    <x v="21"/>
    <s v="No Campaign"/>
    <x v="1"/>
    <n v="4"/>
    <n v="0.05"/>
    <n v="751.22"/>
    <n v="368.66"/>
    <n v="0.49074838263092041"/>
  </r>
  <r>
    <s v="O00655"/>
    <d v="2024-08-02T00:00:00"/>
    <x v="11"/>
    <s v="C0083"/>
    <x v="8"/>
    <s v="No Campaign"/>
    <x v="1"/>
    <n v="1"/>
    <n v="0.05"/>
    <n v="393.75"/>
    <n v="94.5"/>
    <n v="0.24"/>
  </r>
  <r>
    <s v="O00656"/>
    <d v="2025-06-21T00:00:00"/>
    <x v="6"/>
    <s v="C0023"/>
    <x v="29"/>
    <s v="CA003"/>
    <x v="0"/>
    <n v="2"/>
    <n v="0.3"/>
    <n v="464.72"/>
    <n v="54.46"/>
    <n v="0.11718884489585125"/>
  </r>
  <r>
    <s v="O00657"/>
    <d v="2025-02-04T00:00:00"/>
    <x v="2"/>
    <s v="C0263"/>
    <x v="13"/>
    <s v="CA003"/>
    <x v="0"/>
    <n v="1"/>
    <n v="0.05"/>
    <n v="65.739999999999995"/>
    <n v="17.559999999999999"/>
    <n v="0.26711286887739583"/>
  </r>
  <r>
    <s v="O00658"/>
    <d v="2025-04-05T00:00:00"/>
    <x v="1"/>
    <s v="C0133"/>
    <x v="25"/>
    <s v="CA003"/>
    <x v="0"/>
    <n v="5"/>
    <n v="0.15"/>
    <n v="1840.97"/>
    <n v="964.67"/>
    <n v="0.52400093429007533"/>
  </r>
  <r>
    <s v="O00659"/>
    <d v="2025-02-27T00:00:00"/>
    <x v="2"/>
    <s v="C0289"/>
    <x v="8"/>
    <s v="CA001"/>
    <x v="0"/>
    <n v="3"/>
    <n v="0"/>
    <n v="1243.4100000000001"/>
    <n v="345.66"/>
    <n v="0.27799358216517478"/>
  </r>
  <r>
    <s v="O00660"/>
    <d v="2024-06-30T00:00:00"/>
    <x v="12"/>
    <s v="C0111"/>
    <x v="0"/>
    <s v="No Campaign"/>
    <x v="1"/>
    <n v="4"/>
    <n v="0.05"/>
    <n v="769.35"/>
    <n v="298.55"/>
    <n v="0.38805485149801783"/>
  </r>
  <r>
    <s v="O00661"/>
    <d v="2024-07-14T00:00:00"/>
    <x v="10"/>
    <s v="C0113"/>
    <x v="23"/>
    <s v="No Campaign"/>
    <x v="1"/>
    <n v="5"/>
    <n v="0.05"/>
    <n v="1818.2"/>
    <n v="393.4"/>
    <n v="0.21636783632163675"/>
  </r>
  <r>
    <s v="O00662"/>
    <d v="2025-04-02T00:00:00"/>
    <x v="1"/>
    <s v="C0299"/>
    <x v="23"/>
    <s v="CA003"/>
    <x v="0"/>
    <n v="5"/>
    <n v="0.3"/>
    <n v="1339.73"/>
    <n v="-85.07"/>
    <n v="-6.3497868973599159E-2"/>
  </r>
  <r>
    <s v="O00663"/>
    <d v="2024-10-06T00:00:00"/>
    <x v="9"/>
    <s v="C0262"/>
    <x v="15"/>
    <s v="CA003"/>
    <x v="0"/>
    <n v="3"/>
    <n v="0.15"/>
    <n v="164.53"/>
    <n v="79.63"/>
    <n v="0.48398468364432018"/>
  </r>
  <r>
    <s v="O00664"/>
    <d v="2025-06-07T00:00:00"/>
    <x v="6"/>
    <s v="C0036"/>
    <x v="20"/>
    <s v="No Campaign"/>
    <x v="1"/>
    <n v="4"/>
    <n v="0.05"/>
    <n v="359.59"/>
    <n v="63.27"/>
    <n v="0.17595038794182266"/>
  </r>
  <r>
    <s v="O00665"/>
    <d v="2025-02-17T00:00:00"/>
    <x v="2"/>
    <s v="C0056"/>
    <x v="5"/>
    <s v="CA004"/>
    <x v="0"/>
    <n v="5"/>
    <n v="0.2"/>
    <n v="1503.76"/>
    <n v="567.76"/>
    <n v="0.3775602489759004"/>
  </r>
  <r>
    <s v="O00666"/>
    <d v="2025-04-30T00:00:00"/>
    <x v="1"/>
    <s v="C0215"/>
    <x v="23"/>
    <s v="CA003"/>
    <x v="0"/>
    <n v="5"/>
    <n v="0"/>
    <n v="1913.9"/>
    <n v="489.1"/>
    <n v="0.25555149171848057"/>
  </r>
  <r>
    <s v="O00667"/>
    <d v="2024-08-12T00:00:00"/>
    <x v="11"/>
    <s v="C0091"/>
    <x v="21"/>
    <s v="CA001"/>
    <x v="0"/>
    <n v="5"/>
    <n v="0.2"/>
    <n v="790.76"/>
    <n v="312.56"/>
    <n v="0.39526531438110174"/>
  </r>
  <r>
    <s v="O00668"/>
    <d v="2025-01-16T00:00:00"/>
    <x v="3"/>
    <s v="C0061"/>
    <x v="4"/>
    <s v="No Campaign"/>
    <x v="1"/>
    <n v="2"/>
    <n v="0.2"/>
    <n v="356.03"/>
    <n v="172.71"/>
    <n v="0.48509957026093314"/>
  </r>
  <r>
    <s v="O00669"/>
    <d v="2025-02-19T00:00:00"/>
    <x v="2"/>
    <s v="C0277"/>
    <x v="23"/>
    <s v="CA001"/>
    <x v="0"/>
    <n v="4"/>
    <n v="0.2"/>
    <n v="1224.9000000000001"/>
    <n v="85.06"/>
    <n v="6.9442403461507055E-2"/>
  </r>
  <r>
    <s v="O00670"/>
    <d v="2024-07-01T00:00:00"/>
    <x v="10"/>
    <s v="C0216"/>
    <x v="9"/>
    <s v="CA001"/>
    <x v="0"/>
    <n v="5"/>
    <n v="0.15"/>
    <n v="683.1"/>
    <n v="159.55000000000001"/>
    <n v="0.23356755965451617"/>
  </r>
  <r>
    <s v="O00671"/>
    <d v="2024-09-09T00:00:00"/>
    <x v="7"/>
    <s v="C0118"/>
    <x v="22"/>
    <s v="No Campaign"/>
    <x v="1"/>
    <n v="4"/>
    <n v="0.1"/>
    <n v="450.97"/>
    <n v="50.61"/>
    <n v="0.11222475996185999"/>
  </r>
  <r>
    <s v="O00672"/>
    <d v="2025-06-30T00:00:00"/>
    <x v="6"/>
    <s v="C0295"/>
    <x v="3"/>
    <s v="No Campaign"/>
    <x v="1"/>
    <n v="2"/>
    <n v="0.1"/>
    <n v="472.63"/>
    <n v="256.99"/>
    <n v="0.54374457821128586"/>
  </r>
  <r>
    <s v="O00673"/>
    <d v="2024-09-22T00:00:00"/>
    <x v="7"/>
    <s v="C0245"/>
    <x v="10"/>
    <s v="CA004"/>
    <x v="0"/>
    <n v="1"/>
    <n v="0.1"/>
    <n v="270.54000000000002"/>
    <n v="42.35"/>
    <n v="0.15653877430324536"/>
  </r>
  <r>
    <s v="O00674"/>
    <d v="2025-06-14T00:00:00"/>
    <x v="6"/>
    <s v="C0279"/>
    <x v="2"/>
    <s v="CA005"/>
    <x v="0"/>
    <n v="2"/>
    <n v="0"/>
    <n v="317.82"/>
    <n v="180.54"/>
    <n v="0.56805739097602415"/>
  </r>
  <r>
    <s v="O00675"/>
    <d v="2024-09-08T00:00:00"/>
    <x v="7"/>
    <s v="C0004"/>
    <x v="26"/>
    <s v="CA002"/>
    <x v="0"/>
    <n v="5"/>
    <n v="0"/>
    <n v="2474.85"/>
    <n v="851.35"/>
    <n v="0.34400064650382856"/>
  </r>
  <r>
    <s v="O00676"/>
    <d v="2024-08-19T00:00:00"/>
    <x v="11"/>
    <s v="C0193"/>
    <x v="8"/>
    <s v="CA004"/>
    <x v="0"/>
    <n v="3"/>
    <n v="0.15"/>
    <n v="1056.9000000000001"/>
    <n v="159.15"/>
    <n v="0.15058189043428896"/>
  </r>
  <r>
    <s v="O00677"/>
    <d v="2024-11-01T00:00:00"/>
    <x v="8"/>
    <s v="C0186"/>
    <x v="3"/>
    <s v="CA003"/>
    <x v="0"/>
    <n v="4"/>
    <n v="0.3"/>
    <n v="735.2"/>
    <n v="303.92"/>
    <n v="0.41338411316648532"/>
  </r>
  <r>
    <s v="O00678"/>
    <d v="2025-01-24T00:00:00"/>
    <x v="3"/>
    <s v="C0300"/>
    <x v="15"/>
    <s v="CA005"/>
    <x v="0"/>
    <n v="5"/>
    <n v="0.15"/>
    <n v="274.20999999999998"/>
    <n v="132.71"/>
    <n v="0.48397213814229978"/>
  </r>
  <r>
    <s v="O00679"/>
    <d v="2024-11-19T00:00:00"/>
    <x v="8"/>
    <s v="C0290"/>
    <x v="9"/>
    <s v="CA005"/>
    <x v="0"/>
    <n v="4"/>
    <n v="0.05"/>
    <n v="610.77"/>
    <n v="191.93"/>
    <n v="0.31424267727622512"/>
  </r>
  <r>
    <s v="O00680"/>
    <d v="2025-06-30T00:00:00"/>
    <x v="6"/>
    <s v="C0212"/>
    <x v="11"/>
    <s v="No Campaign"/>
    <x v="1"/>
    <n v="2"/>
    <n v="0.1"/>
    <n v="665.96"/>
    <n v="321.62"/>
    <n v="0.48294191843353951"/>
  </r>
  <r>
    <s v="O00681"/>
    <d v="2025-04-22T00:00:00"/>
    <x v="1"/>
    <s v="C0287"/>
    <x v="11"/>
    <s v="No Campaign"/>
    <x v="1"/>
    <n v="3"/>
    <n v="0.1"/>
    <n v="998.95"/>
    <n v="482.44"/>
    <n v="0.48294709444917161"/>
  </r>
  <r>
    <s v="O00682"/>
    <d v="2025-02-22T00:00:00"/>
    <x v="2"/>
    <s v="C0296"/>
    <x v="9"/>
    <s v="No Campaign"/>
    <x v="1"/>
    <n v="2"/>
    <n v="0.3"/>
    <n v="225.02"/>
    <n v="15.6"/>
    <n v="6.9327170918140599E-2"/>
  </r>
  <r>
    <s v="O00683"/>
    <d v="2025-01-26T00:00:00"/>
    <x v="3"/>
    <s v="C0061"/>
    <x v="18"/>
    <s v="CA004"/>
    <x v="0"/>
    <n v="4"/>
    <n v="0.3"/>
    <n v="411.99"/>
    <n v="118.51"/>
    <n v="0.28765261292749822"/>
  </r>
  <r>
    <s v="O00684"/>
    <d v="2024-10-02T00:00:00"/>
    <x v="9"/>
    <s v="C0083"/>
    <x v="3"/>
    <s v="CA004"/>
    <x v="0"/>
    <n v="5"/>
    <n v="0.15"/>
    <n v="1115.92"/>
    <n v="576.82000000000005"/>
    <n v="0.51690085310774969"/>
  </r>
  <r>
    <s v="O00685"/>
    <d v="2024-09-30T00:00:00"/>
    <x v="7"/>
    <s v="C0174"/>
    <x v="22"/>
    <s v="CA001"/>
    <x v="0"/>
    <n v="2"/>
    <n v="0.15"/>
    <n v="212.96"/>
    <n v="12.78"/>
    <n v="6.0011269722013517E-2"/>
  </r>
  <r>
    <s v="O00686"/>
    <d v="2024-11-10T00:00:00"/>
    <x v="8"/>
    <s v="C0003"/>
    <x v="22"/>
    <s v="CA002"/>
    <x v="0"/>
    <n v="2"/>
    <n v="0.15"/>
    <n v="212.96"/>
    <n v="12.78"/>
    <n v="6.0011269722013517E-2"/>
  </r>
  <r>
    <s v="O00687"/>
    <d v="2025-05-28T00:00:00"/>
    <x v="0"/>
    <s v="C0223"/>
    <x v="4"/>
    <s v="CA002"/>
    <x v="0"/>
    <n v="3"/>
    <n v="0.05"/>
    <n v="634.17999999999995"/>
    <n v="359.2"/>
    <n v="0.56640070642404372"/>
  </r>
  <r>
    <s v="O00688"/>
    <d v="2024-09-21T00:00:00"/>
    <x v="7"/>
    <s v="C0190"/>
    <x v="4"/>
    <s v="CA001"/>
    <x v="0"/>
    <n v="4"/>
    <n v="0.15"/>
    <n v="756.57"/>
    <n v="389.93"/>
    <n v="0.51539183419908263"/>
  </r>
  <r>
    <s v="O00689"/>
    <d v="2024-07-21T00:00:00"/>
    <x v="10"/>
    <s v="C0267"/>
    <x v="17"/>
    <s v="CA001"/>
    <x v="0"/>
    <n v="2"/>
    <n v="0.3"/>
    <n v="205.76"/>
    <n v="83.08"/>
    <n v="0.40377138413685848"/>
  </r>
  <r>
    <s v="O00690"/>
    <d v="2024-08-06T00:00:00"/>
    <x v="11"/>
    <s v="C0254"/>
    <x v="0"/>
    <s v="CA001"/>
    <x v="0"/>
    <n v="2"/>
    <n v="0.3"/>
    <n v="283.44"/>
    <n v="48.04"/>
    <n v="0.16948913350268136"/>
  </r>
  <r>
    <s v="O00691"/>
    <d v="2025-04-14T00:00:00"/>
    <x v="1"/>
    <s v="C0266"/>
    <x v="17"/>
    <s v="CA004"/>
    <x v="0"/>
    <n v="1"/>
    <n v="0.2"/>
    <n v="117.58"/>
    <n v="56.24"/>
    <n v="0.47831263820377617"/>
  </r>
  <r>
    <s v="O00692"/>
    <d v="2025-02-08T00:00:00"/>
    <x v="2"/>
    <s v="C0262"/>
    <x v="7"/>
    <s v="CA004"/>
    <x v="0"/>
    <n v="5"/>
    <n v="0.05"/>
    <n v="2230.5500000000002"/>
    <n v="682.75"/>
    <n v="0.30609042612808496"/>
  </r>
  <r>
    <s v="O00693"/>
    <d v="2025-05-14T00:00:00"/>
    <x v="0"/>
    <s v="C0019"/>
    <x v="9"/>
    <s v="CA004"/>
    <x v="0"/>
    <n v="1"/>
    <n v="0.05"/>
    <n v="152.69"/>
    <n v="47.98"/>
    <n v="0.31423144934180364"/>
  </r>
  <r>
    <s v="O00694"/>
    <d v="2025-05-30T00:00:00"/>
    <x v="0"/>
    <s v="C0045"/>
    <x v="15"/>
    <s v="No Campaign"/>
    <x v="1"/>
    <n v="3"/>
    <n v="0.3"/>
    <n v="135.49"/>
    <n v="50.59"/>
    <n v="0.37338548970403718"/>
  </r>
  <r>
    <s v="O00695"/>
    <d v="2025-04-10T00:00:00"/>
    <x v="1"/>
    <s v="C0203"/>
    <x v="28"/>
    <s v="CA004"/>
    <x v="0"/>
    <n v="5"/>
    <n v="0"/>
    <n v="561.5"/>
    <n v="321.3"/>
    <n v="0.57221727515583265"/>
  </r>
  <r>
    <s v="O00696"/>
    <d v="2025-06-26T00:00:00"/>
    <x v="6"/>
    <s v="C0036"/>
    <x v="25"/>
    <s v="CA002"/>
    <x v="0"/>
    <n v="5"/>
    <n v="0.1"/>
    <n v="1949.26"/>
    <n v="1072.96"/>
    <n v="0.55044478417450726"/>
  </r>
  <r>
    <s v="O00697"/>
    <d v="2024-11-07T00:00:00"/>
    <x v="8"/>
    <s v="C0287"/>
    <x v="25"/>
    <s v="No Campaign"/>
    <x v="1"/>
    <n v="3"/>
    <n v="0.1"/>
    <n v="1169.56"/>
    <n v="643.78"/>
    <n v="0.55044632169362839"/>
  </r>
  <r>
    <s v="O00698"/>
    <d v="2024-08-10T00:00:00"/>
    <x v="11"/>
    <s v="C0116"/>
    <x v="16"/>
    <s v="CA004"/>
    <x v="0"/>
    <n v="4"/>
    <n v="0.15"/>
    <n v="597.24"/>
    <n v="100.24"/>
    <n v="0.1678387248007501"/>
  </r>
  <r>
    <s v="O00699"/>
    <d v="2025-06-29T00:00:00"/>
    <x v="6"/>
    <s v="C0295"/>
    <x v="5"/>
    <s v="CA005"/>
    <x v="0"/>
    <n v="2"/>
    <n v="0.15"/>
    <n v="639.1"/>
    <n v="264.7"/>
    <n v="0.41417618526052258"/>
  </r>
  <r>
    <s v="O00700"/>
    <d v="2024-09-19T00:00:00"/>
    <x v="7"/>
    <s v="C0260"/>
    <x v="3"/>
    <s v="CA002"/>
    <x v="0"/>
    <n v="5"/>
    <n v="0.1"/>
    <n v="1181.56"/>
    <n v="642.46"/>
    <n v="0.54373878601171344"/>
  </r>
  <r>
    <s v="O00701"/>
    <d v="2025-01-06T00:00:00"/>
    <x v="3"/>
    <s v="C0175"/>
    <x v="3"/>
    <s v="CA005"/>
    <x v="0"/>
    <n v="5"/>
    <n v="0.2"/>
    <n v="1050.28"/>
    <n v="511.18"/>
    <n v="0.48670830635640022"/>
  </r>
  <r>
    <s v="O00702"/>
    <d v="2025-01-22T00:00:00"/>
    <x v="3"/>
    <s v="C0129"/>
    <x v="12"/>
    <s v="No Campaign"/>
    <x v="1"/>
    <n v="4"/>
    <n v="0.2"/>
    <n v="1070.75"/>
    <n v="323.55"/>
    <n v="0.30217137520429604"/>
  </r>
  <r>
    <s v="O00703"/>
    <d v="2025-04-21T00:00:00"/>
    <x v="1"/>
    <s v="C0248"/>
    <x v="10"/>
    <s v="CA004"/>
    <x v="0"/>
    <n v="3"/>
    <n v="0.15"/>
    <n v="766.53"/>
    <n v="81.96"/>
    <n v="0.10692340808578921"/>
  </r>
  <r>
    <s v="O00704"/>
    <d v="2025-05-14T00:00:00"/>
    <x v="0"/>
    <s v="C0236"/>
    <x v="24"/>
    <s v="CA001"/>
    <x v="0"/>
    <n v="4"/>
    <n v="0"/>
    <n v="812.72"/>
    <n v="163.80000000000001"/>
    <n v="0.20154542769957673"/>
  </r>
  <r>
    <s v="O00705"/>
    <d v="2024-12-14T00:00:00"/>
    <x v="5"/>
    <s v="C0133"/>
    <x v="4"/>
    <s v="No Campaign"/>
    <x v="1"/>
    <n v="2"/>
    <n v="0.3"/>
    <n v="311.52999999999997"/>
    <n v="128.21"/>
    <n v="0.4115494494912208"/>
  </r>
  <r>
    <s v="O00706"/>
    <d v="2025-02-10T00:00:00"/>
    <x v="2"/>
    <s v="C0118"/>
    <x v="22"/>
    <s v="No Campaign"/>
    <x v="1"/>
    <n v="4"/>
    <n v="0.1"/>
    <n v="450.97"/>
    <n v="50.61"/>
    <n v="0.11222475996185999"/>
  </r>
  <r>
    <s v="O00707"/>
    <d v="2024-10-26T00:00:00"/>
    <x v="9"/>
    <s v="C0265"/>
    <x v="11"/>
    <s v="CA001"/>
    <x v="0"/>
    <n v="3"/>
    <n v="0.05"/>
    <n v="1054.44"/>
    <n v="537.92999999999995"/>
    <n v="0.51015705018777735"/>
  </r>
  <r>
    <s v="O00708"/>
    <d v="2024-08-22T00:00:00"/>
    <x v="11"/>
    <s v="C0148"/>
    <x v="4"/>
    <s v="No Campaign"/>
    <x v="1"/>
    <n v="3"/>
    <n v="0"/>
    <n v="667.56"/>
    <n v="392.58"/>
    <n v="0.58808197015998565"/>
  </r>
  <r>
    <s v="O00709"/>
    <d v="2024-10-24T00:00:00"/>
    <x v="9"/>
    <s v="C0284"/>
    <x v="25"/>
    <s v="CA003"/>
    <x v="0"/>
    <n v="4"/>
    <n v="0.1"/>
    <n v="1559.41"/>
    <n v="858.37"/>
    <n v="0.55044536074541006"/>
  </r>
  <r>
    <s v="O00710"/>
    <d v="2024-12-12T00:00:00"/>
    <x v="5"/>
    <s v="C0182"/>
    <x v="1"/>
    <s v="CA005"/>
    <x v="0"/>
    <n v="2"/>
    <n v="0.3"/>
    <n v="569.51"/>
    <n v="16.89"/>
    <n v="2.9657073624694913E-2"/>
  </r>
  <r>
    <s v="O00711"/>
    <d v="2025-03-16T00:00:00"/>
    <x v="4"/>
    <s v="C0098"/>
    <x v="21"/>
    <s v="CA004"/>
    <x v="0"/>
    <n v="2"/>
    <n v="0.3"/>
    <n v="276.77"/>
    <n v="85.49"/>
    <n v="0.30888463345015715"/>
  </r>
  <r>
    <s v="O00712"/>
    <d v="2024-07-25T00:00:00"/>
    <x v="10"/>
    <s v="C0124"/>
    <x v="14"/>
    <s v="CA005"/>
    <x v="0"/>
    <n v="2"/>
    <n v="0.05"/>
    <n v="183.9"/>
    <n v="53.78"/>
    <n v="0.29244154431756392"/>
  </r>
  <r>
    <s v="O00713"/>
    <d v="2024-11-15T00:00:00"/>
    <x v="8"/>
    <s v="C0104"/>
    <x v="23"/>
    <s v="CA004"/>
    <x v="0"/>
    <n v="5"/>
    <n v="0.1"/>
    <n v="1722.51"/>
    <n v="297.70999999999998"/>
    <n v="0.17283499079831174"/>
  </r>
  <r>
    <s v="O00714"/>
    <d v="2024-11-23T00:00:00"/>
    <x v="8"/>
    <s v="C0080"/>
    <x v="10"/>
    <s v="CA002"/>
    <x v="0"/>
    <n v="1"/>
    <n v="0"/>
    <n v="300.60000000000002"/>
    <n v="72.41"/>
    <n v="0.24088489687292081"/>
  </r>
  <r>
    <s v="O00715"/>
    <d v="2024-09-09T00:00:00"/>
    <x v="7"/>
    <s v="C0253"/>
    <x v="16"/>
    <s v="CA001"/>
    <x v="0"/>
    <n v="5"/>
    <n v="0"/>
    <n v="878.3"/>
    <n v="257.05"/>
    <n v="0.29266765342138223"/>
  </r>
  <r>
    <s v="O00716"/>
    <d v="2024-12-10T00:00:00"/>
    <x v="5"/>
    <s v="C0247"/>
    <x v="9"/>
    <s v="No Campaign"/>
    <x v="1"/>
    <n v="4"/>
    <n v="0.2"/>
    <n v="514.34"/>
    <n v="95.5"/>
    <n v="0.18567484543298207"/>
  </r>
  <r>
    <s v="O00717"/>
    <d v="2024-10-08T00:00:00"/>
    <x v="9"/>
    <s v="C0141"/>
    <x v="21"/>
    <s v="CA003"/>
    <x v="0"/>
    <n v="5"/>
    <n v="0.1"/>
    <n v="889.6"/>
    <n v="411.4"/>
    <n v="0.46245503597122301"/>
  </r>
  <r>
    <s v="O00718"/>
    <d v="2025-03-21T00:00:00"/>
    <x v="4"/>
    <s v="C0204"/>
    <x v="20"/>
    <s v="CA003"/>
    <x v="0"/>
    <n v="1"/>
    <n v="0.2"/>
    <n v="75.7"/>
    <n v="1.62"/>
    <n v="2.1400264200792603E-2"/>
  </r>
  <r>
    <s v="O00719"/>
    <d v="2025-02-13T00:00:00"/>
    <x v="2"/>
    <s v="C0217"/>
    <x v="21"/>
    <s v="CA001"/>
    <x v="0"/>
    <n v="5"/>
    <n v="0.1"/>
    <n v="889.6"/>
    <n v="411.4"/>
    <n v="0.46245503597122301"/>
  </r>
  <r>
    <s v="O00720"/>
    <d v="2024-10-19T00:00:00"/>
    <x v="9"/>
    <s v="C0202"/>
    <x v="14"/>
    <s v="CA003"/>
    <x v="0"/>
    <n v="4"/>
    <n v="0"/>
    <n v="387.16"/>
    <n v="126.92"/>
    <n v="0.32782312222337018"/>
  </r>
  <r>
    <s v="O00721"/>
    <d v="2025-05-28T00:00:00"/>
    <x v="0"/>
    <s v="C0266"/>
    <x v="0"/>
    <s v="No Campaign"/>
    <x v="1"/>
    <n v="1"/>
    <n v="0"/>
    <n v="202.46"/>
    <n v="84.76"/>
    <n v="0.41865059764891832"/>
  </r>
  <r>
    <s v="O00722"/>
    <d v="2025-01-17T00:00:00"/>
    <x v="3"/>
    <s v="C0108"/>
    <x v="28"/>
    <s v="CA002"/>
    <x v="0"/>
    <n v="3"/>
    <n v="0.1"/>
    <n v="303.20999999999998"/>
    <n v="159.09"/>
    <n v="0.52468586128425854"/>
  </r>
  <r>
    <s v="O00723"/>
    <d v="2024-12-21T00:00:00"/>
    <x v="5"/>
    <s v="C0133"/>
    <x v="6"/>
    <s v="CA005"/>
    <x v="0"/>
    <n v="2"/>
    <n v="0.1"/>
    <n v="545.13"/>
    <n v="106.75"/>
    <n v="0.19582484911855888"/>
  </r>
  <r>
    <s v="O00724"/>
    <d v="2024-07-24T00:00:00"/>
    <x v="10"/>
    <s v="C0242"/>
    <x v="16"/>
    <s v="No Campaign"/>
    <x v="1"/>
    <n v="3"/>
    <n v="0.05"/>
    <n v="500.63"/>
    <n v="127.88"/>
    <n v="0.25543814793360364"/>
  </r>
  <r>
    <s v="O00725"/>
    <d v="2025-01-05T00:00:00"/>
    <x v="3"/>
    <s v="C0256"/>
    <x v="2"/>
    <s v="CA004"/>
    <x v="0"/>
    <n v="4"/>
    <n v="0.3"/>
    <n v="444.95"/>
    <n v="170.39"/>
    <n v="0.38294190358467239"/>
  </r>
  <r>
    <s v="O00726"/>
    <d v="2024-12-01T00:00:00"/>
    <x v="5"/>
    <s v="C0191"/>
    <x v="9"/>
    <s v="No Campaign"/>
    <x v="1"/>
    <n v="3"/>
    <n v="0.15"/>
    <n v="409.86"/>
    <n v="95.73"/>
    <n v="0.23356755965451617"/>
  </r>
  <r>
    <s v="O00727"/>
    <d v="2025-01-24T00:00:00"/>
    <x v="3"/>
    <s v="C0093"/>
    <x v="26"/>
    <s v="CA003"/>
    <x v="0"/>
    <n v="5"/>
    <n v="0.3"/>
    <n v="1732.4"/>
    <n v="108.9"/>
    <n v="6.2860771184483952E-2"/>
  </r>
  <r>
    <s v="O00728"/>
    <d v="2025-05-07T00:00:00"/>
    <x v="0"/>
    <s v="C0118"/>
    <x v="23"/>
    <s v="CA002"/>
    <x v="0"/>
    <n v="3"/>
    <n v="0.05"/>
    <n v="1090.92"/>
    <n v="236.04"/>
    <n v="0.21636783632163675"/>
  </r>
  <r>
    <s v="O00729"/>
    <d v="2025-02-21T00:00:00"/>
    <x v="2"/>
    <s v="C0285"/>
    <x v="2"/>
    <s v="No Campaign"/>
    <x v="1"/>
    <n v="2"/>
    <n v="0.05"/>
    <n v="301.93"/>
    <n v="164.65"/>
    <n v="0.54532507534859076"/>
  </r>
  <r>
    <s v="O00730"/>
    <d v="2024-07-12T00:00:00"/>
    <x v="10"/>
    <s v="C0077"/>
    <x v="21"/>
    <s v="CA001"/>
    <x v="0"/>
    <n v="2"/>
    <n v="0.15"/>
    <n v="336.07"/>
    <n v="144.79"/>
    <n v="0.4308328622013271"/>
  </r>
  <r>
    <s v="O00731"/>
    <d v="2025-05-05T00:00:00"/>
    <x v="0"/>
    <s v="C0256"/>
    <x v="29"/>
    <s v="No Campaign"/>
    <x v="1"/>
    <n v="4"/>
    <n v="0.1"/>
    <n v="1194.98"/>
    <n v="374.46"/>
    <n v="0.31336089306934006"/>
  </r>
  <r>
    <s v="O00732"/>
    <d v="2024-08-11T00:00:00"/>
    <x v="11"/>
    <s v="C0129"/>
    <x v="11"/>
    <s v="CA001"/>
    <x v="0"/>
    <n v="4"/>
    <n v="0"/>
    <n v="1479.92"/>
    <n v="791.24"/>
    <n v="0.53465052164981886"/>
  </r>
  <r>
    <s v="O00733"/>
    <d v="2025-05-04T00:00:00"/>
    <x v="0"/>
    <s v="C0084"/>
    <x v="13"/>
    <s v="CA004"/>
    <x v="0"/>
    <n v="3"/>
    <n v="0.15"/>
    <n v="176.46"/>
    <n v="31.92"/>
    <n v="0.18089085345120706"/>
  </r>
  <r>
    <s v="O00734"/>
    <d v="2025-06-21T00:00:00"/>
    <x v="6"/>
    <s v="C0050"/>
    <x v="0"/>
    <s v="No Campaign"/>
    <x v="1"/>
    <n v="3"/>
    <n v="0.1"/>
    <n v="546.64"/>
    <n v="193.54"/>
    <n v="0.35405385628567249"/>
  </r>
  <r>
    <s v="O00735"/>
    <d v="2025-06-04T00:00:00"/>
    <x v="6"/>
    <s v="C0185"/>
    <x v="11"/>
    <s v="CA005"/>
    <x v="0"/>
    <n v="3"/>
    <n v="0"/>
    <n v="1109.94"/>
    <n v="593.42999999999995"/>
    <n v="0.53465052164981886"/>
  </r>
  <r>
    <s v="O00736"/>
    <d v="2024-11-06T00:00:00"/>
    <x v="8"/>
    <s v="C0211"/>
    <x v="3"/>
    <s v="No Campaign"/>
    <x v="1"/>
    <n v="5"/>
    <n v="0.05"/>
    <n v="1247.21"/>
    <n v="708.11"/>
    <n v="0.56775522967262926"/>
  </r>
  <r>
    <s v="O00737"/>
    <d v="2024-10-09T00:00:00"/>
    <x v="9"/>
    <s v="C0296"/>
    <x v="26"/>
    <s v="CA003"/>
    <x v="0"/>
    <n v="3"/>
    <n v="0.1"/>
    <n v="1336.42"/>
    <n v="362.32"/>
    <n v="0.27111237485221712"/>
  </r>
  <r>
    <s v="O00738"/>
    <d v="2024-12-30T00:00:00"/>
    <x v="5"/>
    <s v="C0167"/>
    <x v="19"/>
    <s v="No Campaign"/>
    <x v="1"/>
    <n v="4"/>
    <n v="0"/>
    <n v="207.08"/>
    <n v="48.6"/>
    <n v="0.23469190650956151"/>
  </r>
  <r>
    <s v="O00739"/>
    <d v="2024-12-07T00:00:00"/>
    <x v="5"/>
    <s v="C0196"/>
    <x v="16"/>
    <s v="CA005"/>
    <x v="0"/>
    <n v="4"/>
    <n v="0.3"/>
    <n v="491.85"/>
    <n v="-5.15"/>
    <n v="-1.0470671952831148E-2"/>
  </r>
  <r>
    <s v="O00740"/>
    <d v="2024-07-14T00:00:00"/>
    <x v="10"/>
    <s v="C0075"/>
    <x v="14"/>
    <s v="CA003"/>
    <x v="0"/>
    <n v="3"/>
    <n v="0.15"/>
    <n v="246.81"/>
    <n v="51.63"/>
    <n v="0.20918925489242737"/>
  </r>
  <r>
    <s v="O00741"/>
    <d v="2024-09-12T00:00:00"/>
    <x v="7"/>
    <s v="C0293"/>
    <x v="28"/>
    <s v="CA002"/>
    <x v="0"/>
    <n v="1"/>
    <n v="0.05"/>
    <n v="106.68"/>
    <n v="58.64"/>
    <n v="0.54968128983877007"/>
  </r>
  <r>
    <s v="O00742"/>
    <d v="2025-06-23T00:00:00"/>
    <x v="6"/>
    <s v="C0176"/>
    <x v="20"/>
    <s v="No Campaign"/>
    <x v="1"/>
    <n v="3"/>
    <n v="0.3"/>
    <n v="198.72"/>
    <n v="-23.52"/>
    <n v="-0.11835748792270531"/>
  </r>
  <r>
    <s v="O00743"/>
    <d v="2024-08-11T00:00:00"/>
    <x v="11"/>
    <s v="C0150"/>
    <x v="12"/>
    <s v="CA005"/>
    <x v="0"/>
    <n v="5"/>
    <n v="0.3"/>
    <n v="1171.1400000000001"/>
    <n v="237.14"/>
    <n v="0.20248646617825364"/>
  </r>
  <r>
    <s v="O00744"/>
    <d v="2024-06-30T00:00:00"/>
    <x v="12"/>
    <s v="C0203"/>
    <x v="15"/>
    <s v="No Campaign"/>
    <x v="1"/>
    <n v="3"/>
    <n v="0.3"/>
    <n v="135.49"/>
    <n v="50.59"/>
    <n v="0.37338548970403718"/>
  </r>
  <r>
    <s v="O00745"/>
    <d v="2025-04-25T00:00:00"/>
    <x v="1"/>
    <s v="C0267"/>
    <x v="0"/>
    <s v="No Campaign"/>
    <x v="1"/>
    <n v="2"/>
    <n v="0.05"/>
    <n v="384.67"/>
    <n v="149.27000000000001"/>
    <n v="0.38804689734057762"/>
  </r>
  <r>
    <s v="O00746"/>
    <d v="2024-12-26T00:00:00"/>
    <x v="5"/>
    <s v="C0012"/>
    <x v="29"/>
    <s v="CA004"/>
    <x v="0"/>
    <n v="3"/>
    <n v="0.3"/>
    <n v="697.07"/>
    <n v="81.680000000000007"/>
    <n v="0.1171761802975311"/>
  </r>
  <r>
    <s v="O00747"/>
    <d v="2024-10-05T00:00:00"/>
    <x v="9"/>
    <s v="C0041"/>
    <x v="1"/>
    <s v="CA003"/>
    <x v="0"/>
    <n v="4"/>
    <n v="0"/>
    <n v="1627.16"/>
    <n v="521.91999999999996"/>
    <n v="0.32075518080582116"/>
  </r>
  <r>
    <s v="O00748"/>
    <d v="2025-01-09T00:00:00"/>
    <x v="3"/>
    <s v="C0049"/>
    <x v="4"/>
    <s v="No Campaign"/>
    <x v="1"/>
    <n v="5"/>
    <n v="0"/>
    <n v="1112.5999999999999"/>
    <n v="654.29999999999995"/>
    <n v="0.58808197015998565"/>
  </r>
  <r>
    <s v="O00749"/>
    <d v="2025-03-11T00:00:00"/>
    <x v="4"/>
    <s v="C0014"/>
    <x v="10"/>
    <s v="No Campaign"/>
    <x v="1"/>
    <n v="5"/>
    <n v="0"/>
    <n v="1503"/>
    <n v="362.05"/>
    <n v="0.24088489687292083"/>
  </r>
  <r>
    <s v="O00750"/>
    <d v="2024-10-28T00:00:00"/>
    <x v="9"/>
    <s v="C0054"/>
    <x v="15"/>
    <s v="CA003"/>
    <x v="0"/>
    <n v="1"/>
    <n v="0.3"/>
    <n v="45.16"/>
    <n v="16.86"/>
    <n v="0.37333923826395043"/>
  </r>
  <r>
    <s v="O00751"/>
    <d v="2025-05-14T00:00:00"/>
    <x v="0"/>
    <s v="C0200"/>
    <x v="17"/>
    <s v="CA004"/>
    <x v="0"/>
    <n v="2"/>
    <n v="0.3"/>
    <n v="205.76"/>
    <n v="83.08"/>
    <n v="0.40377138413685848"/>
  </r>
  <r>
    <s v="O00752"/>
    <d v="2024-10-20T00:00:00"/>
    <x v="9"/>
    <s v="C0146"/>
    <x v="0"/>
    <s v="CA003"/>
    <x v="0"/>
    <n v="2"/>
    <n v="0.2"/>
    <n v="323.94"/>
    <n v="88.54"/>
    <n v="0.27332222016422797"/>
  </r>
  <r>
    <s v="O00753"/>
    <d v="2024-11-08T00:00:00"/>
    <x v="8"/>
    <s v="C0088"/>
    <x v="5"/>
    <s v="CA001"/>
    <x v="0"/>
    <n v="3"/>
    <n v="0.1"/>
    <n v="1015.04"/>
    <n v="453.44"/>
    <n v="0.44672131147540983"/>
  </r>
  <r>
    <s v="O00754"/>
    <d v="2024-09-12T00:00:00"/>
    <x v="7"/>
    <s v="C0244"/>
    <x v="0"/>
    <s v="CA005"/>
    <x v="0"/>
    <n v="5"/>
    <n v="0.15"/>
    <n v="860.46"/>
    <n v="271.95999999999998"/>
    <n v="0.31606350091811353"/>
  </r>
  <r>
    <s v="O00755"/>
    <d v="2025-02-24T00:00:00"/>
    <x v="2"/>
    <s v="C0070"/>
    <x v="12"/>
    <s v="CA003"/>
    <x v="0"/>
    <n v="5"/>
    <n v="0.2"/>
    <n v="1338.44"/>
    <n v="404.44"/>
    <n v="0.30217267864080571"/>
  </r>
  <r>
    <s v="O00756"/>
    <d v="2024-09-22T00:00:00"/>
    <x v="7"/>
    <s v="C0234"/>
    <x v="8"/>
    <s v="No Campaign"/>
    <x v="1"/>
    <n v="5"/>
    <n v="0.3"/>
    <n v="1450.65"/>
    <n v="-45.6"/>
    <n v="-3.1434184675834968E-2"/>
  </r>
  <r>
    <s v="O00757"/>
    <d v="2025-05-16T00:00:00"/>
    <x v="0"/>
    <s v="C0274"/>
    <x v="17"/>
    <s v="No Campaign"/>
    <x v="1"/>
    <n v="4"/>
    <n v="0.2"/>
    <n v="470.3"/>
    <n v="224.94"/>
    <n v="0.47829045290240269"/>
  </r>
  <r>
    <s v="O00758"/>
    <d v="2025-03-28T00:00:00"/>
    <x v="4"/>
    <s v="C0117"/>
    <x v="22"/>
    <s v="CA002"/>
    <x v="0"/>
    <n v="4"/>
    <n v="0.1"/>
    <n v="450.97"/>
    <n v="50.61"/>
    <n v="0.11222475996185999"/>
  </r>
  <r>
    <s v="O00759"/>
    <d v="2025-03-11T00:00:00"/>
    <x v="4"/>
    <s v="C0188"/>
    <x v="2"/>
    <s v="CA005"/>
    <x v="0"/>
    <n v="2"/>
    <n v="0.1"/>
    <n v="286.04000000000002"/>
    <n v="148.76"/>
    <n v="0.52006712347923356"/>
  </r>
  <r>
    <s v="O00760"/>
    <d v="2025-02-06T00:00:00"/>
    <x v="2"/>
    <s v="C0006"/>
    <x v="5"/>
    <s v="CA003"/>
    <x v="0"/>
    <n v="3"/>
    <n v="0.1"/>
    <n v="1015.04"/>
    <n v="453.44"/>
    <n v="0.44672131147540983"/>
  </r>
  <r>
    <s v="O00761"/>
    <d v="2025-04-11T00:00:00"/>
    <x v="1"/>
    <s v="C0241"/>
    <x v="11"/>
    <s v="CA001"/>
    <x v="0"/>
    <n v="4"/>
    <n v="0.15"/>
    <n v="1257.93"/>
    <n v="569.25"/>
    <n v="0.45252915504042351"/>
  </r>
  <r>
    <s v="O00762"/>
    <d v="2025-04-20T00:00:00"/>
    <x v="1"/>
    <s v="C0154"/>
    <x v="5"/>
    <s v="No Campaign"/>
    <x v="1"/>
    <n v="3"/>
    <n v="0.2"/>
    <n v="902.26"/>
    <n v="340.66"/>
    <n v="0.3775630084454592"/>
  </r>
  <r>
    <s v="O00763"/>
    <d v="2024-07-06T00:00:00"/>
    <x v="10"/>
    <s v="C0119"/>
    <x v="22"/>
    <s v="CA001"/>
    <x v="0"/>
    <n v="5"/>
    <n v="0.1"/>
    <n v="563.72"/>
    <n v="63.27"/>
    <n v="0.11223657134747747"/>
  </r>
  <r>
    <s v="O00764"/>
    <d v="2025-02-06T00:00:00"/>
    <x v="2"/>
    <s v="C0097"/>
    <x v="2"/>
    <s v="No Campaign"/>
    <x v="1"/>
    <n v="4"/>
    <n v="0.05"/>
    <n v="603.86"/>
    <n v="329.3"/>
    <n v="0.54532507534859076"/>
  </r>
  <r>
    <s v="O00765"/>
    <d v="2025-01-11T00:00:00"/>
    <x v="3"/>
    <s v="C0084"/>
    <x v="12"/>
    <s v="No Campaign"/>
    <x v="1"/>
    <n v="4"/>
    <n v="0.05"/>
    <n v="1271.52"/>
    <n v="524.32000000000005"/>
    <n v="0.41235686422549395"/>
  </r>
  <r>
    <s v="O00766"/>
    <d v="2024-08-02T00:00:00"/>
    <x v="11"/>
    <s v="C0135"/>
    <x v="4"/>
    <s v="No Campaign"/>
    <x v="1"/>
    <n v="2"/>
    <n v="0.2"/>
    <n v="356.03"/>
    <n v="172.71"/>
    <n v="0.48509957026093314"/>
  </r>
  <r>
    <s v="O00767"/>
    <d v="2024-10-05T00:00:00"/>
    <x v="9"/>
    <s v="C0140"/>
    <x v="17"/>
    <s v="CA005"/>
    <x v="0"/>
    <n v="4"/>
    <n v="0.05"/>
    <n v="558.49"/>
    <n v="313.13"/>
    <n v="0.56067252770864295"/>
  </r>
  <r>
    <s v="O00768"/>
    <d v="2024-10-29T00:00:00"/>
    <x v="9"/>
    <s v="C0036"/>
    <x v="6"/>
    <s v="CA003"/>
    <x v="0"/>
    <n v="3"/>
    <n v="0"/>
    <n v="908.55"/>
    <n v="250.98"/>
    <n v="0.27624236420670301"/>
  </r>
  <r>
    <s v="O00769"/>
    <d v="2024-09-09T00:00:00"/>
    <x v="7"/>
    <s v="C0234"/>
    <x v="16"/>
    <s v="No Campaign"/>
    <x v="1"/>
    <n v="3"/>
    <n v="0.3"/>
    <n v="368.89"/>
    <n v="-3.86"/>
    <n v="-1.0463823904144867E-2"/>
  </r>
  <r>
    <s v="O00770"/>
    <d v="2024-11-15T00:00:00"/>
    <x v="8"/>
    <s v="C0252"/>
    <x v="1"/>
    <s v="No Campaign"/>
    <x v="1"/>
    <n v="1"/>
    <n v="0.05"/>
    <n v="386.45"/>
    <n v="110.14"/>
    <n v="0.28500452839953422"/>
  </r>
  <r>
    <s v="O00771"/>
    <d v="2024-12-20T00:00:00"/>
    <x v="5"/>
    <s v="C0026"/>
    <x v="11"/>
    <s v="CA001"/>
    <x v="0"/>
    <n v="2"/>
    <n v="0"/>
    <n v="739.96"/>
    <n v="395.62"/>
    <n v="0.53465052164981886"/>
  </r>
  <r>
    <s v="O00772"/>
    <d v="2025-01-31T00:00:00"/>
    <x v="3"/>
    <s v="C0145"/>
    <x v="15"/>
    <s v="CA003"/>
    <x v="0"/>
    <n v="4"/>
    <n v="0.3"/>
    <n v="180.66"/>
    <n v="67.459999999999994"/>
    <n v="0.37340861286394328"/>
  </r>
  <r>
    <s v="O00773"/>
    <d v="2024-12-30T00:00:00"/>
    <x v="5"/>
    <s v="C0005"/>
    <x v="20"/>
    <s v="CA002"/>
    <x v="0"/>
    <n v="2"/>
    <n v="0"/>
    <n v="189.26"/>
    <n v="41.1"/>
    <n v="0.21716157666701894"/>
  </r>
  <r>
    <s v="O00774"/>
    <d v="2025-05-15T00:00:00"/>
    <x v="0"/>
    <s v="C0253"/>
    <x v="1"/>
    <s v="No Campaign"/>
    <x v="1"/>
    <n v="4"/>
    <n v="0.1"/>
    <n v="1464.44"/>
    <n v="359.2"/>
    <n v="0.24528147278140447"/>
  </r>
  <r>
    <s v="O00775"/>
    <d v="2025-06-20T00:00:00"/>
    <x v="6"/>
    <s v="C0256"/>
    <x v="9"/>
    <s v="No Campaign"/>
    <x v="1"/>
    <n v="1"/>
    <n v="0.1"/>
    <n v="144.66"/>
    <n v="39.950000000000003"/>
    <n v="0.27616480022120837"/>
  </r>
  <r>
    <s v="O00776"/>
    <d v="2025-02-20T00:00:00"/>
    <x v="2"/>
    <s v="C0042"/>
    <x v="23"/>
    <s v="CA003"/>
    <x v="0"/>
    <n v="1"/>
    <n v="0.1"/>
    <n v="344.5"/>
    <n v="59.54"/>
    <n v="0.17283018867924527"/>
  </r>
  <r>
    <s v="O00777"/>
    <d v="2024-11-10T00:00:00"/>
    <x v="8"/>
    <s v="C0201"/>
    <x v="4"/>
    <s v="No Campaign"/>
    <x v="1"/>
    <n v="2"/>
    <n v="0.05"/>
    <n v="422.79"/>
    <n v="239.47"/>
    <n v="0.56640412497930415"/>
  </r>
  <r>
    <s v="O00778"/>
    <d v="2024-12-11T00:00:00"/>
    <x v="5"/>
    <s v="C0129"/>
    <x v="23"/>
    <s v="No Campaign"/>
    <x v="1"/>
    <n v="1"/>
    <n v="0"/>
    <n v="382.78"/>
    <n v="97.82"/>
    <n v="0.25555149171848057"/>
  </r>
  <r>
    <s v="O00779"/>
    <d v="2024-07-14T00:00:00"/>
    <x v="10"/>
    <s v="C0128"/>
    <x v="28"/>
    <s v="No Campaign"/>
    <x v="1"/>
    <n v="2"/>
    <n v="0.3"/>
    <n v="157.22"/>
    <n v="61.14"/>
    <n v="0.3888818216511894"/>
  </r>
  <r>
    <s v="O00780"/>
    <d v="2024-09-10T00:00:00"/>
    <x v="7"/>
    <s v="C0018"/>
    <x v="1"/>
    <s v="No Campaign"/>
    <x v="1"/>
    <n v="1"/>
    <n v="0.2"/>
    <n v="325.43"/>
    <n v="49.12"/>
    <n v="0.15093875795101863"/>
  </r>
  <r>
    <s v="O00781"/>
    <d v="2024-12-13T00:00:00"/>
    <x v="5"/>
    <s v="C0107"/>
    <x v="21"/>
    <s v="No Campaign"/>
    <x v="1"/>
    <n v="3"/>
    <n v="0.1"/>
    <n v="533.76"/>
    <n v="246.84"/>
    <n v="0.46245503597122306"/>
  </r>
  <r>
    <s v="O00782"/>
    <d v="2024-07-24T00:00:00"/>
    <x v="10"/>
    <s v="C0082"/>
    <x v="8"/>
    <s v="CA001"/>
    <x v="0"/>
    <n v="5"/>
    <n v="0.2"/>
    <n v="1657.88"/>
    <n v="161.63"/>
    <n v="9.7491977706468488E-2"/>
  </r>
  <r>
    <s v="O00783"/>
    <d v="2025-01-17T00:00:00"/>
    <x v="3"/>
    <s v="C0063"/>
    <x v="15"/>
    <s v="No Campaign"/>
    <x v="1"/>
    <n v="3"/>
    <n v="0.05"/>
    <n v="183.88"/>
    <n v="98.98"/>
    <n v="0.53828583859038504"/>
  </r>
  <r>
    <s v="O00784"/>
    <d v="2025-01-05T00:00:00"/>
    <x v="3"/>
    <s v="C0185"/>
    <x v="24"/>
    <s v="CA001"/>
    <x v="0"/>
    <n v="2"/>
    <n v="0"/>
    <n v="406.36"/>
    <n v="81.900000000000006"/>
    <n v="0.20154542769957673"/>
  </r>
  <r>
    <s v="O00785"/>
    <d v="2025-02-02T00:00:00"/>
    <x v="2"/>
    <s v="C0121"/>
    <x v="8"/>
    <s v="No Campaign"/>
    <x v="1"/>
    <n v="3"/>
    <n v="0"/>
    <n v="1243.4100000000001"/>
    <n v="345.66"/>
    <n v="0.27799358216517478"/>
  </r>
  <r>
    <s v="O00786"/>
    <d v="2024-10-26T00:00:00"/>
    <x v="9"/>
    <s v="C0086"/>
    <x v="22"/>
    <s v="CA005"/>
    <x v="0"/>
    <n v="5"/>
    <n v="0"/>
    <n v="626.35"/>
    <n v="125.9"/>
    <n v="0.20100582741278838"/>
  </r>
  <r>
    <s v="O00787"/>
    <d v="2025-04-19T00:00:00"/>
    <x v="1"/>
    <s v="C0203"/>
    <x v="22"/>
    <s v="CA004"/>
    <x v="0"/>
    <n v="1"/>
    <n v="0"/>
    <n v="125.27"/>
    <n v="25.18"/>
    <n v="0.20100582741278838"/>
  </r>
  <r>
    <s v="O00788"/>
    <d v="2025-05-04T00:00:00"/>
    <x v="0"/>
    <s v="C0298"/>
    <x v="22"/>
    <s v="No Campaign"/>
    <x v="1"/>
    <n v="5"/>
    <n v="0.05"/>
    <n v="595.03"/>
    <n v="94.58"/>
    <n v="0.15894996890913063"/>
  </r>
  <r>
    <s v="O00789"/>
    <d v="2024-12-08T00:00:00"/>
    <x v="5"/>
    <s v="C0191"/>
    <x v="10"/>
    <s v="CA002"/>
    <x v="0"/>
    <n v="2"/>
    <n v="0.05"/>
    <n v="571.14"/>
    <n v="114.76"/>
    <n v="0.20093147039254824"/>
  </r>
  <r>
    <s v="O00790"/>
    <d v="2024-11-12T00:00:00"/>
    <x v="8"/>
    <s v="C0256"/>
    <x v="4"/>
    <s v="No Campaign"/>
    <x v="1"/>
    <n v="1"/>
    <n v="0"/>
    <n v="222.52"/>
    <n v="130.86000000000001"/>
    <n v="0.58808197015998565"/>
  </r>
  <r>
    <s v="O00791"/>
    <d v="2024-09-15T00:00:00"/>
    <x v="7"/>
    <s v="C0183"/>
    <x v="8"/>
    <s v="CA003"/>
    <x v="0"/>
    <n v="5"/>
    <n v="0"/>
    <n v="2072.35"/>
    <n v="576.1"/>
    <n v="0.27799358216517484"/>
  </r>
  <r>
    <s v="O00792"/>
    <d v="2025-04-25T00:00:00"/>
    <x v="1"/>
    <s v="C0065"/>
    <x v="21"/>
    <s v="CA004"/>
    <x v="0"/>
    <n v="3"/>
    <n v="0.2"/>
    <n v="474.46"/>
    <n v="187.54"/>
    <n v="0.39527041267967794"/>
  </r>
  <r>
    <s v="O00793"/>
    <d v="2025-01-29T00:00:00"/>
    <x v="3"/>
    <s v="C0178"/>
    <x v="22"/>
    <s v="No Campaign"/>
    <x v="1"/>
    <n v="2"/>
    <n v="0"/>
    <n v="250.54"/>
    <n v="50.36"/>
    <n v="0.20100582741278838"/>
  </r>
  <r>
    <s v="O00794"/>
    <d v="2025-05-03T00:00:00"/>
    <x v="0"/>
    <s v="C0194"/>
    <x v="9"/>
    <s v="CA003"/>
    <x v="0"/>
    <n v="3"/>
    <n v="0"/>
    <n v="482.19"/>
    <n v="168.06"/>
    <n v="0.34853480992969577"/>
  </r>
  <r>
    <s v="O00795"/>
    <d v="2025-03-06T00:00:00"/>
    <x v="4"/>
    <s v="C0249"/>
    <x v="12"/>
    <s v="No Campaign"/>
    <x v="1"/>
    <n v="5"/>
    <n v="0.1"/>
    <n v="1505.74"/>
    <n v="571.74"/>
    <n v="0.37970698792620239"/>
  </r>
  <r>
    <s v="O00796"/>
    <d v="2024-08-05T00:00:00"/>
    <x v="11"/>
    <s v="C0278"/>
    <x v="12"/>
    <s v="No Campaign"/>
    <x v="1"/>
    <n v="2"/>
    <n v="0.2"/>
    <n v="535.38"/>
    <n v="161.78"/>
    <n v="0.30217789233815234"/>
  </r>
  <r>
    <s v="O00797"/>
    <d v="2025-05-13T00:00:00"/>
    <x v="0"/>
    <s v="C0096"/>
    <x v="11"/>
    <s v="No Campaign"/>
    <x v="1"/>
    <n v="3"/>
    <n v="0.3"/>
    <n v="776.96"/>
    <n v="260.45"/>
    <n v="0.33521674217462927"/>
  </r>
  <r>
    <s v="O00798"/>
    <d v="2025-03-28T00:00:00"/>
    <x v="4"/>
    <s v="C0240"/>
    <x v="15"/>
    <s v="CA003"/>
    <x v="0"/>
    <n v="1"/>
    <n v="0.2"/>
    <n v="51.62"/>
    <n v="23.32"/>
    <n v="0.451762882603642"/>
  </r>
  <r>
    <s v="O00799"/>
    <d v="2024-08-30T00:00:00"/>
    <x v="11"/>
    <s v="C0080"/>
    <x v="0"/>
    <s v="CA005"/>
    <x v="0"/>
    <n v="3"/>
    <n v="0.2"/>
    <n v="485.9"/>
    <n v="132.80000000000001"/>
    <n v="0.27330726486931473"/>
  </r>
  <r>
    <s v="O00800"/>
    <d v="2024-10-31T00:00:00"/>
    <x v="9"/>
    <s v="C0188"/>
    <x v="0"/>
    <s v="CA001"/>
    <x v="0"/>
    <n v="5"/>
    <n v="0.15"/>
    <n v="860.46"/>
    <n v="271.95999999999998"/>
    <n v="0.31606350091811353"/>
  </r>
  <r>
    <s v="O00801"/>
    <d v="2024-11-15T00:00:00"/>
    <x v="8"/>
    <s v="C0095"/>
    <x v="24"/>
    <s v="CA001"/>
    <x v="0"/>
    <n v="5"/>
    <n v="0.1"/>
    <n v="914.31"/>
    <n v="103.16"/>
    <n v="0.1128282529995297"/>
  </r>
  <r>
    <s v="O00802"/>
    <d v="2024-07-29T00:00:00"/>
    <x v="10"/>
    <s v="C0123"/>
    <x v="27"/>
    <s v="CA002"/>
    <x v="0"/>
    <n v="5"/>
    <n v="0.15"/>
    <n v="339.66"/>
    <n v="32.409999999999997"/>
    <n v="9.5418948360124808E-2"/>
  </r>
  <r>
    <s v="O00803"/>
    <d v="2025-02-23T00:00:00"/>
    <x v="2"/>
    <s v="C0098"/>
    <x v="7"/>
    <s v="No Campaign"/>
    <x v="1"/>
    <n v="5"/>
    <n v="0.05"/>
    <n v="2230.5500000000002"/>
    <n v="682.75"/>
    <n v="0.30609042612808496"/>
  </r>
  <r>
    <s v="O00804"/>
    <d v="2025-05-22T00:00:00"/>
    <x v="0"/>
    <s v="C0145"/>
    <x v="27"/>
    <s v="No Campaign"/>
    <x v="1"/>
    <n v="3"/>
    <n v="0"/>
    <n v="239.76"/>
    <n v="55.41"/>
    <n v="0.2311061061061061"/>
  </r>
  <r>
    <s v="O00805"/>
    <d v="2024-08-11T00:00:00"/>
    <x v="11"/>
    <s v="C0050"/>
    <x v="7"/>
    <s v="CA002"/>
    <x v="0"/>
    <n v="1"/>
    <n v="0.05"/>
    <n v="446.11"/>
    <n v="136.55000000000001"/>
    <n v="0.30609042612808501"/>
  </r>
  <r>
    <s v="O00806"/>
    <d v="2025-02-23T00:00:00"/>
    <x v="2"/>
    <s v="C0092"/>
    <x v="14"/>
    <s v="CA001"/>
    <x v="0"/>
    <n v="2"/>
    <n v="0"/>
    <n v="193.58"/>
    <n v="63.46"/>
    <n v="0.32782312222337018"/>
  </r>
  <r>
    <s v="O00807"/>
    <d v="2025-03-26T00:00:00"/>
    <x v="4"/>
    <s v="C0249"/>
    <x v="1"/>
    <s v="CA002"/>
    <x v="0"/>
    <n v="1"/>
    <n v="0.2"/>
    <n v="325.43"/>
    <n v="49.12"/>
    <n v="0.15093875795101863"/>
  </r>
  <r>
    <s v="O00808"/>
    <d v="2025-04-20T00:00:00"/>
    <x v="1"/>
    <s v="C0199"/>
    <x v="19"/>
    <s v="No Campaign"/>
    <x v="1"/>
    <n v="5"/>
    <n v="0.2"/>
    <n v="207.08"/>
    <n v="8.98"/>
    <n v="4.3364883136951901E-2"/>
  </r>
  <r>
    <s v="O00809"/>
    <d v="2024-12-05T00:00:00"/>
    <x v="5"/>
    <s v="C0132"/>
    <x v="13"/>
    <s v="No Campaign"/>
    <x v="1"/>
    <n v="2"/>
    <n v="0.2"/>
    <n v="110.72"/>
    <n v="14.36"/>
    <n v="0.12969653179190752"/>
  </r>
  <r>
    <s v="O00810"/>
    <d v="2024-09-21T00:00:00"/>
    <x v="7"/>
    <s v="C0037"/>
    <x v="5"/>
    <s v="CA004"/>
    <x v="0"/>
    <n v="4"/>
    <n v="0"/>
    <n v="1503.76"/>
    <n v="754.96"/>
    <n v="0.5020481991807203"/>
  </r>
  <r>
    <s v="O00811"/>
    <d v="2025-01-23T00:00:00"/>
    <x v="3"/>
    <s v="C0240"/>
    <x v="22"/>
    <s v="CA001"/>
    <x v="0"/>
    <n v="3"/>
    <n v="0.2"/>
    <n v="300.64999999999998"/>
    <n v="0.38"/>
    <n v="1.2639281556627309E-3"/>
  </r>
  <r>
    <s v="O00812"/>
    <d v="2024-10-19T00:00:00"/>
    <x v="9"/>
    <s v="C0213"/>
    <x v="23"/>
    <s v="No Campaign"/>
    <x v="1"/>
    <n v="1"/>
    <n v="0.2"/>
    <n v="306.22000000000003"/>
    <n v="21.26"/>
    <n v="6.942720919600287E-2"/>
  </r>
  <r>
    <s v="O00813"/>
    <d v="2025-02-23T00:00:00"/>
    <x v="2"/>
    <s v="C0137"/>
    <x v="7"/>
    <s v="CA001"/>
    <x v="0"/>
    <n v="1"/>
    <n v="0.1"/>
    <n v="422.63"/>
    <n v="113.07"/>
    <n v="0.26753898208835147"/>
  </r>
  <r>
    <s v="O00814"/>
    <d v="2025-05-31T00:00:00"/>
    <x v="0"/>
    <s v="C0040"/>
    <x v="1"/>
    <s v="CA002"/>
    <x v="0"/>
    <n v="1"/>
    <n v="0.3"/>
    <n v="284.75"/>
    <n v="8.44"/>
    <n v="2.9640035118525022E-2"/>
  </r>
  <r>
    <s v="O00815"/>
    <d v="2025-04-23T00:00:00"/>
    <x v="1"/>
    <s v="C0119"/>
    <x v="11"/>
    <s v="No Campaign"/>
    <x v="1"/>
    <n v="2"/>
    <n v="0.05"/>
    <n v="702.96"/>
    <n v="358.62"/>
    <n v="0.51015705018777735"/>
  </r>
  <r>
    <s v="O00816"/>
    <d v="2024-09-16T00:00:00"/>
    <x v="7"/>
    <s v="C0270"/>
    <x v="19"/>
    <s v="CA004"/>
    <x v="0"/>
    <n v="5"/>
    <n v="0.3"/>
    <n v="181.2"/>
    <n v="-16.899999999999999"/>
    <n v="-9.3267108167770424E-2"/>
  </r>
  <r>
    <s v="O00817"/>
    <d v="2025-03-06T00:00:00"/>
    <x v="4"/>
    <s v="C0092"/>
    <x v="11"/>
    <s v="No Campaign"/>
    <x v="1"/>
    <n v="1"/>
    <n v="0.3"/>
    <n v="258.99"/>
    <n v="86.82"/>
    <n v="0.33522529827406461"/>
  </r>
  <r>
    <s v="O00818"/>
    <d v="2025-01-21T00:00:00"/>
    <x v="3"/>
    <s v="C0296"/>
    <x v="9"/>
    <s v="No Campaign"/>
    <x v="1"/>
    <n v="4"/>
    <n v="0"/>
    <n v="642.91999999999996"/>
    <n v="224.08"/>
    <n v="0.34853480992969582"/>
  </r>
  <r>
    <s v="O00819"/>
    <d v="2024-10-14T00:00:00"/>
    <x v="9"/>
    <s v="C0086"/>
    <x v="22"/>
    <s v="CA003"/>
    <x v="0"/>
    <n v="5"/>
    <n v="0.15"/>
    <n v="532.4"/>
    <n v="31.95"/>
    <n v="6.0011269722013524E-2"/>
  </r>
  <r>
    <s v="O00820"/>
    <d v="2024-06-30T00:00:00"/>
    <x v="12"/>
    <s v="C0259"/>
    <x v="27"/>
    <s v="CA003"/>
    <x v="0"/>
    <n v="5"/>
    <n v="0.2"/>
    <n v="319.68"/>
    <n v="12.43"/>
    <n v="3.8882632632632634E-2"/>
  </r>
  <r>
    <s v="O00821"/>
    <d v="2025-06-08T00:00:00"/>
    <x v="6"/>
    <s v="C0227"/>
    <x v="25"/>
    <s v="No Campaign"/>
    <x v="1"/>
    <n v="3"/>
    <n v="0.2"/>
    <n v="1039.6099999999999"/>
    <n v="513.83000000000004"/>
    <n v="0.49425265243697164"/>
  </r>
  <r>
    <s v="O00822"/>
    <d v="2024-08-22T00:00:00"/>
    <x v="11"/>
    <s v="C0167"/>
    <x v="14"/>
    <s v="No Campaign"/>
    <x v="1"/>
    <n v="4"/>
    <n v="0.3"/>
    <n v="271.01"/>
    <n v="10.77"/>
    <n v="3.974023098778643E-2"/>
  </r>
  <r>
    <s v="O00823"/>
    <d v="2025-02-09T00:00:00"/>
    <x v="2"/>
    <s v="C0221"/>
    <x v="23"/>
    <s v="No Campaign"/>
    <x v="1"/>
    <n v="5"/>
    <n v="0.05"/>
    <n v="1818.2"/>
    <n v="393.4"/>
    <n v="0.21636783632163675"/>
  </r>
  <r>
    <s v="O00824"/>
    <d v="2024-10-09T00:00:00"/>
    <x v="9"/>
    <s v="C0289"/>
    <x v="11"/>
    <s v="CA004"/>
    <x v="0"/>
    <n v="4"/>
    <n v="0.2"/>
    <n v="1183.94"/>
    <n v="495.26"/>
    <n v="0.41831511732013443"/>
  </r>
  <r>
    <s v="O00825"/>
    <d v="2025-03-17T00:00:00"/>
    <x v="4"/>
    <s v="C0131"/>
    <x v="9"/>
    <s v="No Campaign"/>
    <x v="1"/>
    <n v="4"/>
    <n v="0.15"/>
    <n v="546.48"/>
    <n v="127.64"/>
    <n v="0.23356755965451617"/>
  </r>
  <r>
    <s v="O00826"/>
    <d v="2024-07-10T00:00:00"/>
    <x v="10"/>
    <s v="C0001"/>
    <x v="18"/>
    <s v="CA001"/>
    <x v="0"/>
    <n v="3"/>
    <n v="0.2"/>
    <n v="353.14"/>
    <n v="133.03"/>
    <n v="0.3767061222178173"/>
  </r>
  <r>
    <s v="O00827"/>
    <d v="2025-06-23T00:00:00"/>
    <x v="6"/>
    <s v="C0009"/>
    <x v="7"/>
    <s v="CA003"/>
    <x v="0"/>
    <n v="3"/>
    <n v="0"/>
    <n v="1408.77"/>
    <n v="480.09"/>
    <n v="0.34078664366788047"/>
  </r>
  <r>
    <s v="O00828"/>
    <d v="2025-04-06T00:00:00"/>
    <x v="1"/>
    <s v="C0154"/>
    <x v="20"/>
    <s v="CA004"/>
    <x v="0"/>
    <n v="3"/>
    <n v="0"/>
    <n v="283.89"/>
    <n v="61.65"/>
    <n v="0.21716157666701891"/>
  </r>
  <r>
    <s v="O00829"/>
    <d v="2024-11-06T00:00:00"/>
    <x v="8"/>
    <s v="C0142"/>
    <x v="25"/>
    <s v="CA003"/>
    <x v="0"/>
    <n v="1"/>
    <n v="0"/>
    <n v="433.17"/>
    <n v="257.91000000000003"/>
    <n v="0.59540134358335073"/>
  </r>
  <r>
    <s v="O00830"/>
    <d v="2024-07-05T00:00:00"/>
    <x v="10"/>
    <s v="C0236"/>
    <x v="9"/>
    <s v="CA003"/>
    <x v="0"/>
    <n v="2"/>
    <n v="0.1"/>
    <n v="289.31"/>
    <n v="79.89"/>
    <n v="0.27613978085790331"/>
  </r>
  <r>
    <s v="O00831"/>
    <d v="2024-11-21T00:00:00"/>
    <x v="8"/>
    <s v="C0188"/>
    <x v="24"/>
    <s v="CA004"/>
    <x v="0"/>
    <n v="2"/>
    <n v="0.1"/>
    <n v="365.72"/>
    <n v="41.26"/>
    <n v="0.11281854971016077"/>
  </r>
  <r>
    <s v="O00832"/>
    <d v="2024-07-21T00:00:00"/>
    <x v="10"/>
    <s v="C0154"/>
    <x v="4"/>
    <s v="No Campaign"/>
    <x v="1"/>
    <n v="5"/>
    <n v="0.05"/>
    <n v="1056.97"/>
    <n v="598.66999999999996"/>
    <n v="0.56640207385261643"/>
  </r>
  <r>
    <s v="O00833"/>
    <d v="2025-05-16T00:00:00"/>
    <x v="0"/>
    <s v="C0040"/>
    <x v="18"/>
    <s v="No Campaign"/>
    <x v="1"/>
    <n v="4"/>
    <n v="0.05"/>
    <n v="559.13"/>
    <n v="265.64999999999998"/>
    <n v="0.47511312217194568"/>
  </r>
  <r>
    <s v="O00834"/>
    <d v="2024-12-16T00:00:00"/>
    <x v="5"/>
    <s v="C0250"/>
    <x v="23"/>
    <s v="CA002"/>
    <x v="0"/>
    <n v="5"/>
    <n v="0.3"/>
    <n v="1339.73"/>
    <n v="-85.07"/>
    <n v="-6.3497868973599159E-2"/>
  </r>
  <r>
    <s v="O00835"/>
    <d v="2024-10-12T00:00:00"/>
    <x v="9"/>
    <s v="C0154"/>
    <x v="13"/>
    <s v="No Campaign"/>
    <x v="1"/>
    <n v="1"/>
    <n v="0"/>
    <n v="69.2"/>
    <n v="21.02"/>
    <n v="0.30375722543352601"/>
  </r>
  <r>
    <s v="O00836"/>
    <d v="2024-10-06T00:00:00"/>
    <x v="9"/>
    <s v="C0172"/>
    <x v="9"/>
    <s v="No Campaign"/>
    <x v="1"/>
    <n v="4"/>
    <n v="0"/>
    <n v="642.91999999999996"/>
    <n v="224.08"/>
    <n v="0.34853480992969582"/>
  </r>
  <r>
    <s v="O00837"/>
    <d v="2024-09-13T00:00:00"/>
    <x v="7"/>
    <s v="C0117"/>
    <x v="18"/>
    <s v="CA001"/>
    <x v="0"/>
    <n v="4"/>
    <n v="0"/>
    <n v="588.55999999999995"/>
    <n v="295.08"/>
    <n v="0.50135924969416878"/>
  </r>
  <r>
    <s v="O00838"/>
    <d v="2024-10-06T00:00:00"/>
    <x v="9"/>
    <s v="C0157"/>
    <x v="7"/>
    <s v="CA001"/>
    <x v="0"/>
    <n v="3"/>
    <n v="0.2"/>
    <n v="1127.02"/>
    <n v="198.34"/>
    <n v="0.17598622917073345"/>
  </r>
  <r>
    <s v="O00839"/>
    <d v="2025-02-11T00:00:00"/>
    <x v="2"/>
    <s v="C0290"/>
    <x v="29"/>
    <s v="No Campaign"/>
    <x v="1"/>
    <n v="5"/>
    <n v="0.3"/>
    <n v="1161.79"/>
    <n v="136.13999999999999"/>
    <n v="0.1171812461804629"/>
  </r>
  <r>
    <s v="O00840"/>
    <d v="2024-10-18T00:00:00"/>
    <x v="9"/>
    <s v="C0114"/>
    <x v="29"/>
    <s v="CA001"/>
    <x v="0"/>
    <n v="4"/>
    <n v="0.15"/>
    <n v="1128.5999999999999"/>
    <n v="308.08"/>
    <n v="0.27297536771220982"/>
  </r>
  <r>
    <s v="O00841"/>
    <d v="2025-04-02T00:00:00"/>
    <x v="1"/>
    <s v="C0295"/>
    <x v="7"/>
    <s v="CA002"/>
    <x v="0"/>
    <n v="2"/>
    <n v="0.15"/>
    <n v="798.3"/>
    <n v="179.18"/>
    <n v="0.22445196041588378"/>
  </r>
  <r>
    <s v="O00842"/>
    <d v="2025-06-07T00:00:00"/>
    <x v="6"/>
    <s v="C0149"/>
    <x v="22"/>
    <s v="No Campaign"/>
    <x v="1"/>
    <n v="2"/>
    <n v="0.05"/>
    <n v="238.01"/>
    <n v="37.83"/>
    <n v="0.15894290155875804"/>
  </r>
  <r>
    <s v="O00843"/>
    <d v="2024-10-18T00:00:00"/>
    <x v="9"/>
    <s v="C0173"/>
    <x v="4"/>
    <s v="No Campaign"/>
    <x v="1"/>
    <n v="5"/>
    <n v="0.3"/>
    <n v="778.82"/>
    <n v="320.52"/>
    <n v="0.41154567165712225"/>
  </r>
  <r>
    <s v="O00844"/>
    <d v="2024-07-27T00:00:00"/>
    <x v="10"/>
    <s v="C0026"/>
    <x v="11"/>
    <s v="No Campaign"/>
    <x v="1"/>
    <n v="3"/>
    <n v="0"/>
    <n v="1109.94"/>
    <n v="593.42999999999995"/>
    <n v="0.53465052164981886"/>
  </r>
  <r>
    <s v="O00845"/>
    <d v="2025-04-24T00:00:00"/>
    <x v="1"/>
    <s v="C0205"/>
    <x v="7"/>
    <s v="No Campaign"/>
    <x v="1"/>
    <n v="2"/>
    <n v="0.05"/>
    <n v="892.22"/>
    <n v="273.10000000000002"/>
    <n v="0.30609042612808501"/>
  </r>
  <r>
    <s v="O00846"/>
    <d v="2024-08-23T00:00:00"/>
    <x v="11"/>
    <s v="C0247"/>
    <x v="11"/>
    <s v="CA004"/>
    <x v="0"/>
    <n v="4"/>
    <n v="0.15"/>
    <n v="1257.93"/>
    <n v="569.25"/>
    <n v="0.45252915504042351"/>
  </r>
  <r>
    <s v="O00847"/>
    <d v="2024-09-14T00:00:00"/>
    <x v="7"/>
    <s v="C0293"/>
    <x v="1"/>
    <s v="CA004"/>
    <x v="0"/>
    <n v="2"/>
    <n v="0"/>
    <n v="813.58"/>
    <n v="260.95999999999998"/>
    <n v="0.32075518080582116"/>
  </r>
  <r>
    <s v="O00848"/>
    <d v="2024-10-30T00:00:00"/>
    <x v="9"/>
    <s v="C0137"/>
    <x v="10"/>
    <s v="No Campaign"/>
    <x v="1"/>
    <n v="3"/>
    <n v="0.3"/>
    <n v="631.26"/>
    <n v="-53.31"/>
    <n v="-8.445014732439883E-2"/>
  </r>
  <r>
    <s v="O00849"/>
    <d v="2024-12-02T00:00:00"/>
    <x v="5"/>
    <s v="C0295"/>
    <x v="4"/>
    <s v="CA002"/>
    <x v="0"/>
    <n v="4"/>
    <n v="0.15"/>
    <n v="756.57"/>
    <n v="389.93"/>
    <n v="0.51539183419908263"/>
  </r>
  <r>
    <s v="O00850"/>
    <d v="2024-07-14T00:00:00"/>
    <x v="10"/>
    <s v="C0188"/>
    <x v="9"/>
    <s v="CA004"/>
    <x v="0"/>
    <n v="3"/>
    <n v="0.1"/>
    <n v="433.97"/>
    <n v="119.84"/>
    <n v="0.2761481208378459"/>
  </r>
  <r>
    <s v="O00851"/>
    <d v="2025-03-19T00:00:00"/>
    <x v="4"/>
    <s v="C0013"/>
    <x v="10"/>
    <s v="CA005"/>
    <x v="0"/>
    <n v="2"/>
    <n v="0.1"/>
    <n v="541.08000000000004"/>
    <n v="84.7"/>
    <n v="0.15653877430324536"/>
  </r>
  <r>
    <s v="O00852"/>
    <d v="2024-11-03T00:00:00"/>
    <x v="8"/>
    <s v="C0227"/>
    <x v="16"/>
    <s v="CA003"/>
    <x v="0"/>
    <n v="4"/>
    <n v="0"/>
    <n v="702.64"/>
    <n v="205.64"/>
    <n v="0.29266765342138218"/>
  </r>
  <r>
    <s v="O00853"/>
    <d v="2025-05-30T00:00:00"/>
    <x v="0"/>
    <s v="C0120"/>
    <x v="1"/>
    <s v="No Campaign"/>
    <x v="1"/>
    <n v="2"/>
    <n v="0.3"/>
    <n v="569.51"/>
    <n v="16.89"/>
    <n v="2.9657073624694913E-2"/>
  </r>
  <r>
    <s v="O00854"/>
    <d v="2025-05-21T00:00:00"/>
    <x v="0"/>
    <s v="C0044"/>
    <x v="3"/>
    <s v="CA001"/>
    <x v="0"/>
    <n v="2"/>
    <n v="0.2"/>
    <n v="420.11"/>
    <n v="204.47"/>
    <n v="0.48670586275023209"/>
  </r>
  <r>
    <s v="O00855"/>
    <d v="2025-06-28T00:00:00"/>
    <x v="6"/>
    <s v="C0076"/>
    <x v="14"/>
    <s v="CA005"/>
    <x v="0"/>
    <n v="1"/>
    <n v="0.1"/>
    <n v="87.11"/>
    <n v="22.05"/>
    <n v="0.25312822867638618"/>
  </r>
  <r>
    <s v="O00856"/>
    <d v="2025-03-18T00:00:00"/>
    <x v="4"/>
    <s v="C0057"/>
    <x v="17"/>
    <s v="No Campaign"/>
    <x v="1"/>
    <n v="4"/>
    <n v="0"/>
    <n v="587.88"/>
    <n v="342.52"/>
    <n v="0.58263591209090293"/>
  </r>
  <r>
    <s v="O00857"/>
    <d v="2024-07-24T00:00:00"/>
    <x v="10"/>
    <s v="C0170"/>
    <x v="1"/>
    <s v="CA004"/>
    <x v="0"/>
    <n v="2"/>
    <n v="0.2"/>
    <n v="650.86"/>
    <n v="98.24"/>
    <n v="0.15093875795101863"/>
  </r>
  <r>
    <s v="O00858"/>
    <d v="2025-02-28T00:00:00"/>
    <x v="2"/>
    <s v="C0268"/>
    <x v="10"/>
    <s v="CA005"/>
    <x v="0"/>
    <n v="5"/>
    <n v="0.15"/>
    <n v="1277.55"/>
    <n v="136.6"/>
    <n v="0.10692340808578921"/>
  </r>
  <r>
    <s v="O00859"/>
    <d v="2024-10-11T00:00:00"/>
    <x v="9"/>
    <s v="C0073"/>
    <x v="12"/>
    <s v="CA001"/>
    <x v="0"/>
    <n v="4"/>
    <n v="0.2"/>
    <n v="1070.75"/>
    <n v="323.55"/>
    <n v="0.30217137520429604"/>
  </r>
  <r>
    <s v="O00860"/>
    <d v="2025-04-21T00:00:00"/>
    <x v="1"/>
    <s v="C0270"/>
    <x v="13"/>
    <s v="CA005"/>
    <x v="0"/>
    <n v="2"/>
    <n v="0"/>
    <n v="138.4"/>
    <n v="42.04"/>
    <n v="0.30375722543352601"/>
  </r>
  <r>
    <s v="O00861"/>
    <d v="2025-02-23T00:00:00"/>
    <x v="2"/>
    <s v="C0146"/>
    <x v="1"/>
    <s v="CA005"/>
    <x v="0"/>
    <n v="1"/>
    <n v="0.15"/>
    <n v="345.77"/>
    <n v="69.459999999999994"/>
    <n v="0.20088498134598143"/>
  </r>
  <r>
    <s v="O00862"/>
    <d v="2024-07-24T00:00:00"/>
    <x v="10"/>
    <s v="C0005"/>
    <x v="4"/>
    <s v="No Campaign"/>
    <x v="1"/>
    <n v="3"/>
    <n v="0.3"/>
    <n v="467.29"/>
    <n v="192.31"/>
    <n v="0.41154315307410816"/>
  </r>
  <r>
    <s v="O00863"/>
    <d v="2025-02-14T00:00:00"/>
    <x v="2"/>
    <s v="C0185"/>
    <x v="14"/>
    <s v="CA002"/>
    <x v="0"/>
    <n v="1"/>
    <n v="0.1"/>
    <n v="87.11"/>
    <n v="22.05"/>
    <n v="0.25312822867638618"/>
  </r>
  <r>
    <s v="O00864"/>
    <d v="2025-03-22T00:00:00"/>
    <x v="4"/>
    <s v="C0198"/>
    <x v="20"/>
    <s v="No Campaign"/>
    <x v="1"/>
    <n v="5"/>
    <n v="0.3"/>
    <n v="331.2"/>
    <n v="-39.200000000000003"/>
    <n v="-0.11835748792270533"/>
  </r>
  <r>
    <s v="O00865"/>
    <d v="2025-06-23T00:00:00"/>
    <x v="6"/>
    <s v="C0051"/>
    <x v="24"/>
    <s v="No Campaign"/>
    <x v="1"/>
    <n v="4"/>
    <n v="0.2"/>
    <n v="650.17999999999995"/>
    <n v="1.26"/>
    <n v="1.9379248823402752E-3"/>
  </r>
  <r>
    <s v="O00866"/>
    <d v="2025-05-30T00:00:00"/>
    <x v="0"/>
    <s v="C0273"/>
    <x v="4"/>
    <s v="CA003"/>
    <x v="0"/>
    <n v="2"/>
    <n v="0.2"/>
    <n v="356.03"/>
    <n v="172.71"/>
    <n v="0.48509957026093314"/>
  </r>
  <r>
    <s v="O00867"/>
    <d v="2024-11-07T00:00:00"/>
    <x v="8"/>
    <s v="C0235"/>
    <x v="11"/>
    <s v="CA001"/>
    <x v="0"/>
    <n v="1"/>
    <n v="0.05"/>
    <n v="351.48"/>
    <n v="179.31"/>
    <n v="0.51015705018777735"/>
  </r>
  <r>
    <s v="O00868"/>
    <d v="2024-07-21T00:00:00"/>
    <x v="10"/>
    <s v="C0272"/>
    <x v="17"/>
    <s v="No Campaign"/>
    <x v="1"/>
    <n v="4"/>
    <n v="0.15"/>
    <n v="499.7"/>
    <n v="254.34"/>
    <n v="0.50898539123474085"/>
  </r>
  <r>
    <s v="O00869"/>
    <d v="2024-09-23T00:00:00"/>
    <x v="7"/>
    <s v="C0081"/>
    <x v="5"/>
    <s v="No Campaign"/>
    <x v="1"/>
    <n v="3"/>
    <n v="0.1"/>
    <n v="1015.04"/>
    <n v="453.44"/>
    <n v="0.44672131147540983"/>
  </r>
  <r>
    <s v="O00870"/>
    <d v="2024-12-14T00:00:00"/>
    <x v="5"/>
    <s v="C0155"/>
    <x v="20"/>
    <s v="CA005"/>
    <x v="0"/>
    <n v="1"/>
    <n v="0.3"/>
    <n v="66.239999999999995"/>
    <n v="-7.84"/>
    <n v="-0.11835748792270533"/>
  </r>
  <r>
    <s v="O00871"/>
    <d v="2024-07-03T00:00:00"/>
    <x v="10"/>
    <s v="C0132"/>
    <x v="24"/>
    <s v="No Campaign"/>
    <x v="1"/>
    <n v="1"/>
    <n v="0.2"/>
    <n v="162.54"/>
    <n v="0.31"/>
    <n v="1.9072228374553957E-3"/>
  </r>
  <r>
    <s v="O00872"/>
    <d v="2025-01-19T00:00:00"/>
    <x v="3"/>
    <s v="C0144"/>
    <x v="20"/>
    <s v="CA003"/>
    <x v="0"/>
    <n v="3"/>
    <n v="0.15"/>
    <n v="241.31"/>
    <n v="19.07"/>
    <n v="7.9026977746467206E-2"/>
  </r>
  <r>
    <s v="O00873"/>
    <d v="2024-08-01T00:00:00"/>
    <x v="11"/>
    <s v="C0071"/>
    <x v="4"/>
    <s v="No Campaign"/>
    <x v="1"/>
    <n v="5"/>
    <n v="0.3"/>
    <n v="778.82"/>
    <n v="320.52"/>
    <n v="0.41154567165712225"/>
  </r>
  <r>
    <s v="O00874"/>
    <d v="2024-12-26T00:00:00"/>
    <x v="5"/>
    <s v="C0117"/>
    <x v="2"/>
    <s v="CA004"/>
    <x v="0"/>
    <n v="5"/>
    <n v="0.05"/>
    <n v="754.82"/>
    <n v="411.62"/>
    <n v="0.54532206353832702"/>
  </r>
  <r>
    <s v="O00875"/>
    <d v="2025-03-06T00:00:00"/>
    <x v="4"/>
    <s v="C0219"/>
    <x v="17"/>
    <s v="No Campaign"/>
    <x v="1"/>
    <n v="4"/>
    <n v="0.2"/>
    <n v="470.3"/>
    <n v="224.94"/>
    <n v="0.47829045290240269"/>
  </r>
  <r>
    <s v="O00876"/>
    <d v="2025-03-01T00:00:00"/>
    <x v="4"/>
    <s v="C0068"/>
    <x v="1"/>
    <s v="CA003"/>
    <x v="0"/>
    <n v="5"/>
    <n v="0.2"/>
    <n v="1627.16"/>
    <n v="245.61"/>
    <n v="0.15094397600727649"/>
  </r>
  <r>
    <s v="O00877"/>
    <d v="2025-02-24T00:00:00"/>
    <x v="2"/>
    <s v="C0104"/>
    <x v="14"/>
    <s v="CA003"/>
    <x v="0"/>
    <n v="3"/>
    <n v="0.3"/>
    <n v="203.26"/>
    <n v="8.08"/>
    <n v="3.9752041719964583E-2"/>
  </r>
  <r>
    <s v="O00878"/>
    <d v="2025-04-05T00:00:00"/>
    <x v="1"/>
    <s v="C0269"/>
    <x v="25"/>
    <s v="CA003"/>
    <x v="0"/>
    <n v="4"/>
    <n v="0.05"/>
    <n v="1646.05"/>
    <n v="945.01"/>
    <n v="0.57410771240241787"/>
  </r>
  <r>
    <s v="O00879"/>
    <d v="2024-09-01T00:00:00"/>
    <x v="7"/>
    <s v="C0290"/>
    <x v="25"/>
    <s v="CA003"/>
    <x v="0"/>
    <n v="3"/>
    <n v="0"/>
    <n v="1299.51"/>
    <n v="773.73"/>
    <n v="0.59540134358335062"/>
  </r>
  <r>
    <s v="O00880"/>
    <d v="2025-03-30T00:00:00"/>
    <x v="4"/>
    <s v="C0286"/>
    <x v="11"/>
    <s v="CA002"/>
    <x v="0"/>
    <n v="2"/>
    <n v="0.1"/>
    <n v="665.96"/>
    <n v="321.62"/>
    <n v="0.48294191843353951"/>
  </r>
  <r>
    <s v="O00881"/>
    <d v="2024-08-29T00:00:00"/>
    <x v="11"/>
    <s v="C0075"/>
    <x v="18"/>
    <s v="CA001"/>
    <x v="0"/>
    <n v="3"/>
    <n v="0.15"/>
    <n v="375.21"/>
    <n v="155.1"/>
    <n v="0.41336851363236587"/>
  </r>
  <r>
    <s v="O00882"/>
    <d v="2024-08-14T00:00:00"/>
    <x v="11"/>
    <s v="C0211"/>
    <x v="17"/>
    <s v="No Campaign"/>
    <x v="1"/>
    <n v="3"/>
    <n v="0.05"/>
    <n v="418.86"/>
    <n v="234.84"/>
    <n v="0.56066466122332048"/>
  </r>
  <r>
    <s v="O00883"/>
    <d v="2025-01-13T00:00:00"/>
    <x v="3"/>
    <s v="C0097"/>
    <x v="3"/>
    <s v="CA003"/>
    <x v="0"/>
    <n v="2"/>
    <n v="0"/>
    <n v="525.14"/>
    <n v="309.5"/>
    <n v="0.58936664508512016"/>
  </r>
  <r>
    <s v="O00884"/>
    <d v="2024-09-08T00:00:00"/>
    <x v="7"/>
    <s v="C0137"/>
    <x v="16"/>
    <s v="CA004"/>
    <x v="0"/>
    <n v="5"/>
    <n v="0.05"/>
    <n v="834.38"/>
    <n v="213.13"/>
    <n v="0.25543517342218175"/>
  </r>
  <r>
    <s v="O00885"/>
    <d v="2024-08-08T00:00:00"/>
    <x v="11"/>
    <s v="C0119"/>
    <x v="19"/>
    <s v="CA001"/>
    <x v="0"/>
    <n v="3"/>
    <n v="0"/>
    <n v="155.31"/>
    <n v="36.450000000000003"/>
    <n v="0.23469190650956154"/>
  </r>
  <r>
    <s v="O00886"/>
    <d v="2025-04-27T00:00:00"/>
    <x v="1"/>
    <s v="C0245"/>
    <x v="29"/>
    <s v="No Campaign"/>
    <x v="1"/>
    <n v="3"/>
    <n v="0.05"/>
    <n v="946.03"/>
    <n v="330.64"/>
    <n v="0.34950265847806095"/>
  </r>
  <r>
    <s v="O00887"/>
    <d v="2025-01-27T00:00:00"/>
    <x v="3"/>
    <s v="C0199"/>
    <x v="21"/>
    <s v="No Campaign"/>
    <x v="1"/>
    <n v="2"/>
    <n v="0.05"/>
    <n v="375.61"/>
    <n v="184.33"/>
    <n v="0.49074838263092041"/>
  </r>
  <r>
    <s v="O00888"/>
    <d v="2025-04-11T00:00:00"/>
    <x v="1"/>
    <s v="C0099"/>
    <x v="20"/>
    <s v="CA001"/>
    <x v="0"/>
    <n v="4"/>
    <n v="0"/>
    <n v="378.52"/>
    <n v="82.2"/>
    <n v="0.21716157666701894"/>
  </r>
  <r>
    <s v="O00889"/>
    <d v="2024-07-11T00:00:00"/>
    <x v="10"/>
    <s v="C0139"/>
    <x v="2"/>
    <s v="CA004"/>
    <x v="0"/>
    <n v="2"/>
    <n v="0.05"/>
    <n v="301.93"/>
    <n v="164.65"/>
    <n v="0.54532507534859076"/>
  </r>
  <r>
    <s v="O00890"/>
    <d v="2024-11-29T00:00:00"/>
    <x v="8"/>
    <s v="C0034"/>
    <x v="6"/>
    <s v="No Campaign"/>
    <x v="1"/>
    <n v="5"/>
    <n v="0.15"/>
    <n v="1287.1099999999999"/>
    <n v="191.16"/>
    <n v="0.14851877461910792"/>
  </r>
  <r>
    <s v="O00891"/>
    <d v="2025-03-13T00:00:00"/>
    <x v="4"/>
    <s v="C0167"/>
    <x v="14"/>
    <s v="No Campaign"/>
    <x v="1"/>
    <n v="2"/>
    <n v="0.15"/>
    <n v="164.54"/>
    <n v="34.42"/>
    <n v="0.2091892548924274"/>
  </r>
  <r>
    <s v="O00892"/>
    <d v="2025-02-10T00:00:00"/>
    <x v="2"/>
    <s v="C0208"/>
    <x v="10"/>
    <s v="CA001"/>
    <x v="0"/>
    <n v="5"/>
    <n v="0.3"/>
    <n v="1052.0999999999999"/>
    <n v="-88.85"/>
    <n v="-8.4450147324398817E-2"/>
  </r>
  <r>
    <s v="O00893"/>
    <d v="2024-11-07T00:00:00"/>
    <x v="8"/>
    <s v="C0195"/>
    <x v="18"/>
    <s v="No Campaign"/>
    <x v="1"/>
    <n v="4"/>
    <n v="0.2"/>
    <n v="470.85"/>
    <n v="177.37"/>
    <n v="0.37670170967399386"/>
  </r>
  <r>
    <s v="O00894"/>
    <d v="2024-10-24T00:00:00"/>
    <x v="9"/>
    <s v="C0293"/>
    <x v="16"/>
    <s v="CA001"/>
    <x v="0"/>
    <n v="5"/>
    <n v="0"/>
    <n v="878.3"/>
    <n v="257.05"/>
    <n v="0.29266765342138223"/>
  </r>
  <r>
    <s v="O00895"/>
    <d v="2024-10-30T00:00:00"/>
    <x v="9"/>
    <s v="C0232"/>
    <x v="0"/>
    <s v="CA001"/>
    <x v="0"/>
    <n v="2"/>
    <n v="0.2"/>
    <n v="323.94"/>
    <n v="88.54"/>
    <n v="0.27332222016422797"/>
  </r>
  <r>
    <s v="O00896"/>
    <d v="2024-10-08T00:00:00"/>
    <x v="9"/>
    <s v="C0276"/>
    <x v="28"/>
    <s v="CA001"/>
    <x v="0"/>
    <n v="5"/>
    <n v="0.15"/>
    <n v="477.28"/>
    <n v="237.08"/>
    <n v="0.49673147837747239"/>
  </r>
  <r>
    <s v="O00897"/>
    <d v="2024-07-17T00:00:00"/>
    <x v="10"/>
    <s v="C0265"/>
    <x v="10"/>
    <s v="CA001"/>
    <x v="0"/>
    <n v="2"/>
    <n v="0.1"/>
    <n v="541.08000000000004"/>
    <n v="84.7"/>
    <n v="0.15653877430324536"/>
  </r>
  <r>
    <s v="O00898"/>
    <d v="2025-01-11T00:00:00"/>
    <x v="3"/>
    <s v="C0226"/>
    <x v="28"/>
    <s v="CA005"/>
    <x v="0"/>
    <n v="3"/>
    <n v="0.15"/>
    <n v="286.36"/>
    <n v="142.24"/>
    <n v="0.49671741863388741"/>
  </r>
  <r>
    <s v="O00899"/>
    <d v="2025-04-30T00:00:00"/>
    <x v="1"/>
    <s v="C0086"/>
    <x v="2"/>
    <s v="CA005"/>
    <x v="0"/>
    <n v="5"/>
    <n v="0"/>
    <n v="794.55"/>
    <n v="451.35"/>
    <n v="0.56805739097602426"/>
  </r>
  <r>
    <s v="O00900"/>
    <d v="2025-01-17T00:00:00"/>
    <x v="3"/>
    <s v="C0265"/>
    <x v="24"/>
    <s v="CA003"/>
    <x v="0"/>
    <n v="4"/>
    <n v="0.3"/>
    <n v="568.9"/>
    <n v="-80.02"/>
    <n v="-0.14065740903497978"/>
  </r>
  <r>
    <s v="O00901"/>
    <d v="2025-05-19T00:00:00"/>
    <x v="0"/>
    <s v="C0232"/>
    <x v="4"/>
    <s v="CA002"/>
    <x v="0"/>
    <n v="2"/>
    <n v="0.2"/>
    <n v="356.03"/>
    <n v="172.71"/>
    <n v="0.48509957026093314"/>
  </r>
  <r>
    <s v="O00902"/>
    <d v="2024-07-30T00:00:00"/>
    <x v="10"/>
    <s v="C0280"/>
    <x v="29"/>
    <s v="No Campaign"/>
    <x v="1"/>
    <n v="4"/>
    <n v="0.1"/>
    <n v="1194.98"/>
    <n v="374.46"/>
    <n v="0.31336089306934006"/>
  </r>
  <r>
    <s v="O00903"/>
    <d v="2024-08-10T00:00:00"/>
    <x v="11"/>
    <s v="C0231"/>
    <x v="5"/>
    <s v="CA003"/>
    <x v="0"/>
    <n v="4"/>
    <n v="0.2"/>
    <n v="1203.01"/>
    <n v="454.21"/>
    <n v="0.37756128377985221"/>
  </r>
  <r>
    <s v="O00904"/>
    <d v="2024-08-01T00:00:00"/>
    <x v="11"/>
    <s v="C0104"/>
    <x v="24"/>
    <s v="No Campaign"/>
    <x v="1"/>
    <n v="1"/>
    <n v="0.1"/>
    <n v="182.86"/>
    <n v="20.63"/>
    <n v="0.11281854971016077"/>
  </r>
  <r>
    <s v="O00905"/>
    <d v="2025-01-05T00:00:00"/>
    <x v="3"/>
    <s v="C0166"/>
    <x v="12"/>
    <s v="CA003"/>
    <x v="0"/>
    <n v="1"/>
    <n v="0"/>
    <n v="334.61"/>
    <n v="147.81"/>
    <n v="0.44173814291264457"/>
  </r>
  <r>
    <s v="O00906"/>
    <d v="2024-11-01T00:00:00"/>
    <x v="8"/>
    <s v="C0059"/>
    <x v="12"/>
    <s v="No Campaign"/>
    <x v="1"/>
    <n v="3"/>
    <n v="0"/>
    <n v="1003.83"/>
    <n v="443.43"/>
    <n v="0.44173814291264457"/>
  </r>
  <r>
    <s v="O00907"/>
    <d v="2024-10-05T00:00:00"/>
    <x v="9"/>
    <s v="C0269"/>
    <x v="12"/>
    <s v="No Campaign"/>
    <x v="1"/>
    <n v="5"/>
    <n v="0.2"/>
    <n v="1338.44"/>
    <n v="404.44"/>
    <n v="0.30217267864080571"/>
  </r>
  <r>
    <s v="O00908"/>
    <d v="2024-10-14T00:00:00"/>
    <x v="9"/>
    <s v="C0082"/>
    <x v="28"/>
    <s v="No Campaign"/>
    <x v="1"/>
    <n v="1"/>
    <n v="0.05"/>
    <n v="106.68"/>
    <n v="58.64"/>
    <n v="0.54968128983877007"/>
  </r>
  <r>
    <s v="O00909"/>
    <d v="2025-04-06T00:00:00"/>
    <x v="1"/>
    <s v="C0172"/>
    <x v="26"/>
    <s v="CA003"/>
    <x v="0"/>
    <n v="2"/>
    <n v="0.05"/>
    <n v="940.44"/>
    <n v="291.04000000000002"/>
    <n v="0.30947216196673899"/>
  </r>
  <r>
    <s v="O00910"/>
    <d v="2025-06-16T00:00:00"/>
    <x v="6"/>
    <s v="C0092"/>
    <x v="10"/>
    <s v="CA001"/>
    <x v="0"/>
    <n v="4"/>
    <n v="0.1"/>
    <n v="1082.1600000000001"/>
    <n v="169.4"/>
    <n v="0.15653877430324536"/>
  </r>
  <r>
    <s v="O00911"/>
    <d v="2024-11-29T00:00:00"/>
    <x v="8"/>
    <s v="C0159"/>
    <x v="18"/>
    <s v="No Campaign"/>
    <x v="1"/>
    <n v="3"/>
    <n v="0.3"/>
    <n v="308.99"/>
    <n v="88.88"/>
    <n v="0.28764684941260232"/>
  </r>
  <r>
    <s v="O00912"/>
    <d v="2024-12-12T00:00:00"/>
    <x v="5"/>
    <s v="C0093"/>
    <x v="3"/>
    <s v="CA003"/>
    <x v="0"/>
    <n v="2"/>
    <n v="0"/>
    <n v="525.14"/>
    <n v="309.5"/>
    <n v="0.58936664508512016"/>
  </r>
  <r>
    <s v="O00913"/>
    <d v="2025-01-17T00:00:00"/>
    <x v="3"/>
    <s v="C0130"/>
    <x v="5"/>
    <s v="No Campaign"/>
    <x v="1"/>
    <n v="4"/>
    <n v="0.15"/>
    <n v="1278.2"/>
    <n v="529.4"/>
    <n v="0.41417618526052258"/>
  </r>
  <r>
    <s v="O00914"/>
    <d v="2025-04-21T00:00:00"/>
    <x v="1"/>
    <s v="C0279"/>
    <x v="22"/>
    <s v="CA001"/>
    <x v="0"/>
    <n v="5"/>
    <n v="0.15"/>
    <n v="532.4"/>
    <n v="31.95"/>
    <n v="6.0011269722013524E-2"/>
  </r>
  <r>
    <s v="O00915"/>
    <d v="2025-06-04T00:00:00"/>
    <x v="6"/>
    <s v="C0122"/>
    <x v="1"/>
    <s v="No Campaign"/>
    <x v="1"/>
    <n v="4"/>
    <n v="0.15"/>
    <n v="1383.09"/>
    <n v="277.85000000000002"/>
    <n v="0.20089075909738344"/>
  </r>
  <r>
    <s v="O00916"/>
    <d v="2025-06-26T00:00:00"/>
    <x v="6"/>
    <s v="C0227"/>
    <x v="4"/>
    <s v="CA001"/>
    <x v="0"/>
    <n v="2"/>
    <n v="0.2"/>
    <n v="356.03"/>
    <n v="172.71"/>
    <n v="0.48509957026093314"/>
  </r>
  <r>
    <s v="O00917"/>
    <d v="2024-08-21T00:00:00"/>
    <x v="11"/>
    <s v="C0143"/>
    <x v="16"/>
    <s v="CA004"/>
    <x v="0"/>
    <n v="1"/>
    <n v="0.05"/>
    <n v="166.88"/>
    <n v="42.63"/>
    <n v="0.25545302013422821"/>
  </r>
  <r>
    <s v="O00918"/>
    <d v="2025-03-12T00:00:00"/>
    <x v="4"/>
    <s v="C0076"/>
    <x v="13"/>
    <s v="No Campaign"/>
    <x v="1"/>
    <n v="1"/>
    <n v="0.05"/>
    <n v="65.739999999999995"/>
    <n v="17.559999999999999"/>
    <n v="0.26711286887739583"/>
  </r>
  <r>
    <s v="O00919"/>
    <d v="2024-10-29T00:00:00"/>
    <x v="9"/>
    <s v="C0017"/>
    <x v="19"/>
    <s v="CA005"/>
    <x v="0"/>
    <n v="3"/>
    <n v="0"/>
    <n v="155.31"/>
    <n v="36.450000000000003"/>
    <n v="0.23469190650956154"/>
  </r>
  <r>
    <s v="O00920"/>
    <d v="2024-08-10T00:00:00"/>
    <x v="11"/>
    <s v="C0026"/>
    <x v="3"/>
    <s v="No Campaign"/>
    <x v="1"/>
    <n v="2"/>
    <n v="0.05"/>
    <n v="498.88"/>
    <n v="283.24"/>
    <n v="0.56775176395125082"/>
  </r>
  <r>
    <s v="O00921"/>
    <d v="2024-12-18T00:00:00"/>
    <x v="5"/>
    <s v="C0146"/>
    <x v="16"/>
    <s v="CA003"/>
    <x v="0"/>
    <n v="4"/>
    <n v="0.3"/>
    <n v="491.85"/>
    <n v="-5.15"/>
    <n v="-1.0470671952831148E-2"/>
  </r>
  <r>
    <s v="O00922"/>
    <d v="2024-12-28T00:00:00"/>
    <x v="5"/>
    <s v="C0297"/>
    <x v="9"/>
    <s v="CA001"/>
    <x v="0"/>
    <n v="1"/>
    <n v="0.1"/>
    <n v="144.66"/>
    <n v="39.950000000000003"/>
    <n v="0.27616480022120837"/>
  </r>
  <r>
    <s v="O00923"/>
    <d v="2025-01-15T00:00:00"/>
    <x v="3"/>
    <s v="C0166"/>
    <x v="9"/>
    <s v="No Campaign"/>
    <x v="1"/>
    <n v="1"/>
    <n v="0.15"/>
    <n v="136.62"/>
    <n v="31.91"/>
    <n v="0.23356755965451617"/>
  </r>
  <r>
    <s v="O00924"/>
    <d v="2025-06-26T00:00:00"/>
    <x v="6"/>
    <s v="C0282"/>
    <x v="4"/>
    <s v="CA005"/>
    <x v="0"/>
    <n v="4"/>
    <n v="0.05"/>
    <n v="845.58"/>
    <n v="478.94"/>
    <n v="0.56640412497930415"/>
  </r>
  <r>
    <s v="O00925"/>
    <d v="2025-05-12T00:00:00"/>
    <x v="0"/>
    <s v="C0063"/>
    <x v="12"/>
    <s v="CA005"/>
    <x v="0"/>
    <n v="3"/>
    <n v="0.2"/>
    <n v="803.06"/>
    <n v="242.66"/>
    <n v="0.30216920279929271"/>
  </r>
  <r>
    <s v="O00926"/>
    <d v="2025-04-24T00:00:00"/>
    <x v="1"/>
    <s v="C0212"/>
    <x v="7"/>
    <s v="CA004"/>
    <x v="0"/>
    <n v="2"/>
    <n v="0.2"/>
    <n v="751.34"/>
    <n v="132.22"/>
    <n v="0.17597891766710144"/>
  </r>
  <r>
    <s v="O00927"/>
    <d v="2025-04-29T00:00:00"/>
    <x v="1"/>
    <s v="C0030"/>
    <x v="3"/>
    <s v="CA002"/>
    <x v="0"/>
    <n v="4"/>
    <n v="0.3"/>
    <n v="735.2"/>
    <n v="303.92"/>
    <n v="0.41338411316648532"/>
  </r>
  <r>
    <s v="O00928"/>
    <d v="2024-12-23T00:00:00"/>
    <x v="5"/>
    <s v="C0148"/>
    <x v="2"/>
    <s v="No Campaign"/>
    <x v="1"/>
    <n v="3"/>
    <n v="0.2"/>
    <n v="381.38"/>
    <n v="175.46"/>
    <n v="0.46006607582988096"/>
  </r>
  <r>
    <s v="O00929"/>
    <d v="2025-03-06T00:00:00"/>
    <x v="4"/>
    <s v="C0295"/>
    <x v="16"/>
    <s v="No Campaign"/>
    <x v="1"/>
    <n v="2"/>
    <n v="0.2"/>
    <n v="281.06"/>
    <n v="32.56"/>
    <n v="0.11584715007471715"/>
  </r>
  <r>
    <s v="O00930"/>
    <d v="2025-03-31T00:00:00"/>
    <x v="4"/>
    <s v="C0289"/>
    <x v="21"/>
    <s v="No Campaign"/>
    <x v="1"/>
    <n v="4"/>
    <n v="0.05"/>
    <n v="751.22"/>
    <n v="368.66"/>
    <n v="0.49074838263092041"/>
  </r>
  <r>
    <s v="O00931"/>
    <d v="2025-05-14T00:00:00"/>
    <x v="0"/>
    <s v="C0120"/>
    <x v="12"/>
    <s v="CA005"/>
    <x v="0"/>
    <n v="2"/>
    <n v="0"/>
    <n v="669.22"/>
    <n v="295.62"/>
    <n v="0.44173814291264457"/>
  </r>
  <r>
    <s v="O00932"/>
    <d v="2025-06-04T00:00:00"/>
    <x v="6"/>
    <s v="C0061"/>
    <x v="5"/>
    <s v="No Campaign"/>
    <x v="1"/>
    <n v="1"/>
    <n v="0.3"/>
    <n v="263.16000000000003"/>
    <n v="75.959999999999994"/>
    <n v="0.28864569083447328"/>
  </r>
  <r>
    <s v="O00933"/>
    <d v="2025-02-19T00:00:00"/>
    <x v="2"/>
    <s v="C0107"/>
    <x v="22"/>
    <s v="No Campaign"/>
    <x v="1"/>
    <n v="4"/>
    <n v="0"/>
    <n v="501.08"/>
    <n v="100.72"/>
    <n v="0.20100582741278838"/>
  </r>
  <r>
    <s v="O00934"/>
    <d v="2024-07-23T00:00:00"/>
    <x v="10"/>
    <s v="C0171"/>
    <x v="9"/>
    <s v="CA004"/>
    <x v="0"/>
    <n v="1"/>
    <n v="0.3"/>
    <n v="112.51"/>
    <n v="7.8"/>
    <n v="6.9327170918140599E-2"/>
  </r>
  <r>
    <s v="O00935"/>
    <d v="2024-08-10T00:00:00"/>
    <x v="11"/>
    <s v="C0104"/>
    <x v="12"/>
    <s v="CA005"/>
    <x v="0"/>
    <n v="3"/>
    <n v="0"/>
    <n v="1003.83"/>
    <n v="443.43"/>
    <n v="0.44173814291264457"/>
  </r>
  <r>
    <s v="O00936"/>
    <d v="2024-09-09T00:00:00"/>
    <x v="7"/>
    <s v="C0158"/>
    <x v="17"/>
    <s v="No Campaign"/>
    <x v="1"/>
    <n v="1"/>
    <n v="0"/>
    <n v="146.97"/>
    <n v="85.63"/>
    <n v="0.58263591209090293"/>
  </r>
  <r>
    <s v="O00937"/>
    <d v="2024-11-18T00:00:00"/>
    <x v="8"/>
    <s v="C0171"/>
    <x v="27"/>
    <s v="No Campaign"/>
    <x v="1"/>
    <n v="5"/>
    <n v="0.2"/>
    <n v="319.68"/>
    <n v="12.43"/>
    <n v="3.8882632632632634E-2"/>
  </r>
  <r>
    <s v="O00938"/>
    <d v="2024-11-10T00:00:00"/>
    <x v="8"/>
    <s v="C0015"/>
    <x v="23"/>
    <s v="CA003"/>
    <x v="0"/>
    <n v="2"/>
    <n v="0.1"/>
    <n v="689"/>
    <n v="119.08"/>
    <n v="0.17283018867924527"/>
  </r>
  <r>
    <s v="O00939"/>
    <d v="2025-02-25T00:00:00"/>
    <x v="2"/>
    <s v="C0174"/>
    <x v="25"/>
    <s v="No Campaign"/>
    <x v="1"/>
    <n v="4"/>
    <n v="0"/>
    <n v="1732.68"/>
    <n v="1031.6400000000001"/>
    <n v="0.59540134358335073"/>
  </r>
  <r>
    <s v="O00940"/>
    <d v="2025-02-24T00:00:00"/>
    <x v="2"/>
    <s v="C0070"/>
    <x v="21"/>
    <s v="CA003"/>
    <x v="0"/>
    <n v="4"/>
    <n v="0.2"/>
    <n v="632.61"/>
    <n v="250.05"/>
    <n v="0.39526722625314176"/>
  </r>
  <r>
    <s v="O00941"/>
    <d v="2024-07-07T00:00:00"/>
    <x v="10"/>
    <s v="C0172"/>
    <x v="0"/>
    <s v="No Campaign"/>
    <x v="1"/>
    <n v="1"/>
    <n v="0.2"/>
    <n v="161.97"/>
    <n v="44.27"/>
    <n v="0.27332222016422797"/>
  </r>
  <r>
    <s v="O00942"/>
    <d v="2024-08-24T00:00:00"/>
    <x v="11"/>
    <s v="C0154"/>
    <x v="26"/>
    <s v="No Campaign"/>
    <x v="1"/>
    <n v="5"/>
    <n v="0.2"/>
    <n v="1979.88"/>
    <n v="356.38"/>
    <n v="0.18000080812978564"/>
  </r>
  <r>
    <s v="O00943"/>
    <d v="2024-10-09T00:00:00"/>
    <x v="9"/>
    <s v="C0010"/>
    <x v="1"/>
    <s v="No Campaign"/>
    <x v="1"/>
    <n v="3"/>
    <n v="0"/>
    <n v="1220.3699999999999"/>
    <n v="391.44"/>
    <n v="0.32075518080582122"/>
  </r>
  <r>
    <s v="O00944"/>
    <d v="2024-10-06T00:00:00"/>
    <x v="9"/>
    <s v="C0077"/>
    <x v="15"/>
    <s v="CA001"/>
    <x v="0"/>
    <n v="3"/>
    <n v="0.15"/>
    <n v="164.53"/>
    <n v="79.63"/>
    <n v="0.48398468364432018"/>
  </r>
  <r>
    <s v="O00945"/>
    <d v="2025-01-19T00:00:00"/>
    <x v="3"/>
    <s v="C0274"/>
    <x v="23"/>
    <s v="CA003"/>
    <x v="0"/>
    <n v="5"/>
    <n v="0.2"/>
    <n v="1531.12"/>
    <n v="106.32"/>
    <n v="6.9439364648100743E-2"/>
  </r>
  <r>
    <s v="O00946"/>
    <d v="2024-12-20T00:00:00"/>
    <x v="5"/>
    <s v="C0200"/>
    <x v="6"/>
    <s v="CA002"/>
    <x v="0"/>
    <n v="3"/>
    <n v="0.3"/>
    <n v="635.98"/>
    <n v="-21.59"/>
    <n v="-3.3947608415358974E-2"/>
  </r>
  <r>
    <s v="O00947"/>
    <d v="2024-11-26T00:00:00"/>
    <x v="8"/>
    <s v="C0162"/>
    <x v="12"/>
    <s v="CA001"/>
    <x v="0"/>
    <n v="3"/>
    <n v="0.15"/>
    <n v="853.26"/>
    <n v="292.86"/>
    <n v="0.34322480838197034"/>
  </r>
  <r>
    <s v="O00948"/>
    <d v="2024-09-20T00:00:00"/>
    <x v="7"/>
    <s v="C0045"/>
    <x v="21"/>
    <s v="CA004"/>
    <x v="0"/>
    <n v="3"/>
    <n v="0.15"/>
    <n v="504.11"/>
    <n v="217.19"/>
    <n v="0.43083850746860802"/>
  </r>
  <r>
    <s v="O00949"/>
    <d v="2024-10-02T00:00:00"/>
    <x v="9"/>
    <s v="C0155"/>
    <x v="1"/>
    <s v="CA005"/>
    <x v="0"/>
    <n v="2"/>
    <n v="0"/>
    <n v="813.58"/>
    <n v="260.95999999999998"/>
    <n v="0.32075518080582116"/>
  </r>
  <r>
    <s v="O00950"/>
    <d v="2025-04-03T00:00:00"/>
    <x v="1"/>
    <s v="C0192"/>
    <x v="22"/>
    <s v="CA001"/>
    <x v="0"/>
    <n v="2"/>
    <n v="0"/>
    <n v="250.54"/>
    <n v="50.36"/>
    <n v="0.20100582741278838"/>
  </r>
  <r>
    <s v="O00951"/>
    <d v="2025-02-18T00:00:00"/>
    <x v="2"/>
    <s v="C0228"/>
    <x v="7"/>
    <s v="CA001"/>
    <x v="0"/>
    <n v="4"/>
    <n v="0.2"/>
    <n v="1502.69"/>
    <n v="264.45"/>
    <n v="0.17598440130698945"/>
  </r>
  <r>
    <s v="O00952"/>
    <d v="2024-11-10T00:00:00"/>
    <x v="8"/>
    <s v="C0079"/>
    <x v="1"/>
    <s v="No Campaign"/>
    <x v="1"/>
    <n v="4"/>
    <n v="0.3"/>
    <n v="1139.01"/>
    <n v="33.770000000000003"/>
    <n v="2.9648554446405215E-2"/>
  </r>
  <r>
    <s v="O00953"/>
    <d v="2025-03-06T00:00:00"/>
    <x v="4"/>
    <s v="C0269"/>
    <x v="17"/>
    <s v="No Campaign"/>
    <x v="1"/>
    <n v="2"/>
    <n v="0"/>
    <n v="293.94"/>
    <n v="171.26"/>
    <n v="0.58263591209090293"/>
  </r>
  <r>
    <s v="O00954"/>
    <d v="2025-06-09T00:00:00"/>
    <x v="6"/>
    <s v="C0265"/>
    <x v="19"/>
    <s v="CA003"/>
    <x v="0"/>
    <n v="2"/>
    <n v="0.3"/>
    <n v="72.48"/>
    <n v="-6.76"/>
    <n v="-9.326710816777041E-2"/>
  </r>
  <r>
    <s v="O00955"/>
    <d v="2025-05-27T00:00:00"/>
    <x v="0"/>
    <s v="C0019"/>
    <x v="0"/>
    <s v="No Campaign"/>
    <x v="1"/>
    <n v="5"/>
    <n v="0"/>
    <n v="1012.3"/>
    <n v="423.8"/>
    <n v="0.41865059764891832"/>
  </r>
  <r>
    <s v="O00956"/>
    <d v="2024-10-18T00:00:00"/>
    <x v="9"/>
    <s v="C0003"/>
    <x v="17"/>
    <s v="CA001"/>
    <x v="0"/>
    <n v="5"/>
    <n v="0"/>
    <n v="734.85"/>
    <n v="428.15"/>
    <n v="0.58263591209090282"/>
  </r>
  <r>
    <s v="O00957"/>
    <d v="2024-07-29T00:00:00"/>
    <x v="10"/>
    <s v="C0171"/>
    <x v="0"/>
    <s v="CA001"/>
    <x v="0"/>
    <n v="1"/>
    <n v="0.2"/>
    <n v="161.97"/>
    <n v="44.27"/>
    <n v="0.27332222016422797"/>
  </r>
  <r>
    <s v="O00958"/>
    <d v="2025-01-19T00:00:00"/>
    <x v="3"/>
    <s v="C0160"/>
    <x v="5"/>
    <s v="CA005"/>
    <x v="0"/>
    <n v="2"/>
    <n v="0.1"/>
    <n v="676.69"/>
    <n v="302.29000000000002"/>
    <n v="0.44671858605860881"/>
  </r>
  <r>
    <s v="O00959"/>
    <d v="2025-05-27T00:00:00"/>
    <x v="0"/>
    <s v="C0103"/>
    <x v="1"/>
    <s v="CA005"/>
    <x v="0"/>
    <n v="3"/>
    <n v="0.2"/>
    <n v="976.3"/>
    <n v="147.37"/>
    <n v="0.15094745467581688"/>
  </r>
  <r>
    <s v="O00960"/>
    <d v="2025-03-09T00:00:00"/>
    <x v="4"/>
    <s v="C0164"/>
    <x v="10"/>
    <s v="No Campaign"/>
    <x v="1"/>
    <n v="1"/>
    <n v="0.1"/>
    <n v="270.54000000000002"/>
    <n v="42.35"/>
    <n v="0.15653877430324536"/>
  </r>
  <r>
    <s v="O00961"/>
    <d v="2024-09-17T00:00:00"/>
    <x v="7"/>
    <s v="C0077"/>
    <x v="6"/>
    <s v="CA005"/>
    <x v="0"/>
    <n v="1"/>
    <n v="0"/>
    <n v="302.85000000000002"/>
    <n v="83.66"/>
    <n v="0.27624236420670295"/>
  </r>
  <r>
    <s v="O00962"/>
    <d v="2025-01-10T00:00:00"/>
    <x v="3"/>
    <s v="C0287"/>
    <x v="7"/>
    <s v="CA002"/>
    <x v="0"/>
    <n v="2"/>
    <n v="0.2"/>
    <n v="751.34"/>
    <n v="132.22"/>
    <n v="0.17597891766710144"/>
  </r>
  <r>
    <s v="O00963"/>
    <d v="2024-08-29T00:00:00"/>
    <x v="11"/>
    <s v="C0180"/>
    <x v="11"/>
    <s v="No Campaign"/>
    <x v="1"/>
    <n v="3"/>
    <n v="0.05"/>
    <n v="1054.44"/>
    <n v="537.92999999999995"/>
    <n v="0.51015705018777735"/>
  </r>
  <r>
    <s v="O00964"/>
    <d v="2024-08-21T00:00:00"/>
    <x v="11"/>
    <s v="C0146"/>
    <x v="26"/>
    <s v="CA004"/>
    <x v="0"/>
    <n v="2"/>
    <n v="0"/>
    <n v="989.94"/>
    <n v="340.54"/>
    <n v="0.3440006465038285"/>
  </r>
  <r>
    <s v="O00965"/>
    <d v="2025-03-03T00:00:00"/>
    <x v="4"/>
    <s v="C0160"/>
    <x v="16"/>
    <s v="No Campaign"/>
    <x v="1"/>
    <n v="5"/>
    <n v="0.15"/>
    <n v="746.56"/>
    <n v="125.31"/>
    <n v="0.16784987141020147"/>
  </r>
  <r>
    <s v="O00966"/>
    <d v="2025-05-23T00:00:00"/>
    <x v="0"/>
    <s v="C0026"/>
    <x v="29"/>
    <s v="CA001"/>
    <x v="0"/>
    <n v="4"/>
    <n v="0.3"/>
    <n v="929.43"/>
    <n v="108.91"/>
    <n v="0.11717934648117664"/>
  </r>
  <r>
    <s v="O00967"/>
    <d v="2024-09-23T00:00:00"/>
    <x v="7"/>
    <s v="C0026"/>
    <x v="3"/>
    <s v="No Campaign"/>
    <x v="1"/>
    <n v="1"/>
    <n v="0"/>
    <n v="262.57"/>
    <n v="154.75"/>
    <n v="0.58936664508512016"/>
  </r>
  <r>
    <s v="O00968"/>
    <d v="2024-08-17T00:00:00"/>
    <x v="11"/>
    <s v="C0219"/>
    <x v="28"/>
    <s v="CA003"/>
    <x v="0"/>
    <n v="5"/>
    <n v="0.2"/>
    <n v="449.2"/>
    <n v="209"/>
    <n v="0.46527159394479073"/>
  </r>
  <r>
    <s v="O00969"/>
    <d v="2025-03-09T00:00:00"/>
    <x v="4"/>
    <s v="C0229"/>
    <x v="16"/>
    <s v="No Campaign"/>
    <x v="1"/>
    <n v="3"/>
    <n v="0.1"/>
    <n v="474.28"/>
    <n v="101.53"/>
    <n v="0.21407185628742517"/>
  </r>
  <r>
    <s v="O00970"/>
    <d v="2024-12-26T00:00:00"/>
    <x v="5"/>
    <s v="C0102"/>
    <x v="12"/>
    <s v="CA002"/>
    <x v="0"/>
    <n v="4"/>
    <n v="0.2"/>
    <n v="1070.75"/>
    <n v="323.55"/>
    <n v="0.30217137520429604"/>
  </r>
  <r>
    <s v="O00971"/>
    <d v="2024-10-06T00:00:00"/>
    <x v="9"/>
    <s v="C0068"/>
    <x v="4"/>
    <s v="No Campaign"/>
    <x v="1"/>
    <n v="1"/>
    <n v="0.15"/>
    <n v="189.14"/>
    <n v="97.48"/>
    <n v="0.51538542878291216"/>
  </r>
  <r>
    <s v="O00972"/>
    <d v="2024-07-26T00:00:00"/>
    <x v="10"/>
    <s v="C0159"/>
    <x v="19"/>
    <s v="No Campaign"/>
    <x v="1"/>
    <n v="4"/>
    <n v="0.05"/>
    <n v="196.73"/>
    <n v="38.25"/>
    <n v="0.1944289127230214"/>
  </r>
  <r>
    <s v="O00973"/>
    <d v="2024-09-01T00:00:00"/>
    <x v="7"/>
    <s v="C0115"/>
    <x v="29"/>
    <s v="CA005"/>
    <x v="0"/>
    <n v="3"/>
    <n v="0.15"/>
    <n v="846.45"/>
    <n v="231.06"/>
    <n v="0.27297536771220982"/>
  </r>
  <r>
    <s v="O00974"/>
    <d v="2024-08-10T00:00:00"/>
    <x v="11"/>
    <s v="C0094"/>
    <x v="12"/>
    <s v="No Campaign"/>
    <x v="1"/>
    <n v="3"/>
    <n v="0.15"/>
    <n v="853.26"/>
    <n v="292.86"/>
    <n v="0.34322480838197034"/>
  </r>
  <r>
    <s v="O00975"/>
    <d v="2024-07-09T00:00:00"/>
    <x v="10"/>
    <s v="C0250"/>
    <x v="5"/>
    <s v="CA002"/>
    <x v="0"/>
    <n v="4"/>
    <n v="0"/>
    <n v="1503.76"/>
    <n v="754.96"/>
    <n v="0.5020481991807203"/>
  </r>
  <r>
    <s v="O00976"/>
    <d v="2025-03-11T00:00:00"/>
    <x v="4"/>
    <s v="C0180"/>
    <x v="21"/>
    <s v="No Campaign"/>
    <x v="1"/>
    <n v="2"/>
    <n v="0.1"/>
    <n v="355.84"/>
    <n v="164.56"/>
    <n v="0.46245503597122306"/>
  </r>
  <r>
    <s v="O00977"/>
    <d v="2025-01-01T00:00:00"/>
    <x v="3"/>
    <s v="C0179"/>
    <x v="16"/>
    <s v="CA003"/>
    <x v="0"/>
    <n v="5"/>
    <n v="0"/>
    <n v="878.3"/>
    <n v="257.05"/>
    <n v="0.29266765342138223"/>
  </r>
  <r>
    <s v="O00978"/>
    <d v="2025-06-06T00:00:00"/>
    <x v="6"/>
    <s v="C0208"/>
    <x v="23"/>
    <s v="CA002"/>
    <x v="0"/>
    <n v="3"/>
    <n v="0.2"/>
    <n v="918.67"/>
    <n v="63.79"/>
    <n v="6.9437338761470388E-2"/>
  </r>
  <r>
    <s v="O00979"/>
    <d v="2024-10-12T00:00:00"/>
    <x v="9"/>
    <s v="C0037"/>
    <x v="22"/>
    <s v="CA005"/>
    <x v="0"/>
    <n v="5"/>
    <n v="0.15"/>
    <n v="532.4"/>
    <n v="31.95"/>
    <n v="6.0011269722013524E-2"/>
  </r>
  <r>
    <s v="O00980"/>
    <d v="2025-02-19T00:00:00"/>
    <x v="2"/>
    <s v="C0206"/>
    <x v="26"/>
    <s v="No Campaign"/>
    <x v="1"/>
    <n v="2"/>
    <n v="0.2"/>
    <n v="791.95"/>
    <n v="142.55000000000001"/>
    <n v="0.17999873729402111"/>
  </r>
  <r>
    <s v="O00981"/>
    <d v="2025-03-13T00:00:00"/>
    <x v="4"/>
    <s v="C0125"/>
    <x v="11"/>
    <s v="CA003"/>
    <x v="0"/>
    <n v="4"/>
    <n v="0.15"/>
    <n v="1257.93"/>
    <n v="569.25"/>
    <n v="0.45252915504042351"/>
  </r>
  <r>
    <s v="O00982"/>
    <d v="2025-04-01T00:00:00"/>
    <x v="1"/>
    <s v="C0034"/>
    <x v="27"/>
    <s v="CA004"/>
    <x v="0"/>
    <n v="5"/>
    <n v="0.15"/>
    <n v="339.66"/>
    <n v="32.409999999999997"/>
    <n v="9.5418948360124808E-2"/>
  </r>
  <r>
    <s v="O00983"/>
    <d v="2025-05-19T00:00:00"/>
    <x v="0"/>
    <s v="C0223"/>
    <x v="26"/>
    <s v="No Campaign"/>
    <x v="1"/>
    <n v="5"/>
    <n v="0.3"/>
    <n v="1732.4"/>
    <n v="108.9"/>
    <n v="6.2860771184483952E-2"/>
  </r>
  <r>
    <s v="O00984"/>
    <d v="2025-03-15T00:00:00"/>
    <x v="4"/>
    <s v="C0121"/>
    <x v="6"/>
    <s v="CA002"/>
    <x v="0"/>
    <n v="5"/>
    <n v="0.15"/>
    <n v="1287.1099999999999"/>
    <n v="191.16"/>
    <n v="0.14851877461910792"/>
  </r>
  <r>
    <s v="O00985"/>
    <d v="2025-01-05T00:00:00"/>
    <x v="3"/>
    <s v="C0059"/>
    <x v="26"/>
    <s v="No Campaign"/>
    <x v="1"/>
    <n v="3"/>
    <n v="0.2"/>
    <n v="1187.93"/>
    <n v="213.83"/>
    <n v="0.18000218868115125"/>
  </r>
  <r>
    <s v="O00986"/>
    <d v="2025-01-10T00:00:00"/>
    <x v="3"/>
    <s v="C0050"/>
    <x v="23"/>
    <s v="No Campaign"/>
    <x v="1"/>
    <n v="2"/>
    <n v="0.1"/>
    <n v="689"/>
    <n v="119.08"/>
    <n v="0.17283018867924527"/>
  </r>
  <r>
    <s v="O00987"/>
    <d v="2024-10-17T00:00:00"/>
    <x v="9"/>
    <s v="C0208"/>
    <x v="4"/>
    <s v="CA002"/>
    <x v="0"/>
    <n v="5"/>
    <n v="0.15"/>
    <n v="945.71"/>
    <n v="487.41"/>
    <n v="0.51539055312939486"/>
  </r>
  <r>
    <s v="O00988"/>
    <d v="2025-02-26T00:00:00"/>
    <x v="2"/>
    <s v="C0168"/>
    <x v="21"/>
    <s v="CA001"/>
    <x v="0"/>
    <n v="1"/>
    <n v="0.05"/>
    <n v="187.81"/>
    <n v="92.17"/>
    <n v="0.49076194025877218"/>
  </r>
  <r>
    <s v="O00989"/>
    <d v="2025-05-19T00:00:00"/>
    <x v="0"/>
    <s v="C0072"/>
    <x v="24"/>
    <s v="CA001"/>
    <x v="0"/>
    <n v="2"/>
    <n v="0.3"/>
    <n v="284.45"/>
    <n v="-40.01"/>
    <n v="-0.14065740903497978"/>
  </r>
  <r>
    <s v="O00990"/>
    <d v="2025-04-11T00:00:00"/>
    <x v="1"/>
    <s v="C0077"/>
    <x v="0"/>
    <s v="CA005"/>
    <x v="0"/>
    <n v="4"/>
    <n v="0.2"/>
    <n v="647.87"/>
    <n v="177.07"/>
    <n v="0.27331100375075246"/>
  </r>
  <r>
    <s v="O00991"/>
    <d v="2024-08-10T00:00:00"/>
    <x v="11"/>
    <s v="C0296"/>
    <x v="0"/>
    <s v="CA004"/>
    <x v="0"/>
    <n v="2"/>
    <n v="0.3"/>
    <n v="283.44"/>
    <n v="48.04"/>
    <n v="0.16948913350268136"/>
  </r>
  <r>
    <s v="O00992"/>
    <d v="2025-05-28T00:00:00"/>
    <x v="0"/>
    <s v="C0163"/>
    <x v="17"/>
    <s v="CA005"/>
    <x v="0"/>
    <n v="4"/>
    <n v="0.3"/>
    <n v="411.52"/>
    <n v="166.16"/>
    <n v="0.40377138413685848"/>
  </r>
  <r>
    <s v="O00993"/>
    <d v="2024-12-14T00:00:00"/>
    <x v="5"/>
    <s v="C0177"/>
    <x v="4"/>
    <s v="CA001"/>
    <x v="0"/>
    <n v="5"/>
    <n v="0.2"/>
    <n v="890.08"/>
    <n v="431.78"/>
    <n v="0.48510246269998197"/>
  </r>
  <r>
    <s v="O00994"/>
    <d v="2024-12-25T00:00:00"/>
    <x v="5"/>
    <s v="C0207"/>
    <x v="14"/>
    <s v="CA003"/>
    <x v="0"/>
    <n v="3"/>
    <n v="0"/>
    <n v="290.37"/>
    <n v="95.19"/>
    <n v="0.32782312222337018"/>
  </r>
  <r>
    <s v="O00995"/>
    <d v="2025-01-05T00:00:00"/>
    <x v="3"/>
    <s v="C0190"/>
    <x v="24"/>
    <s v="CA001"/>
    <x v="0"/>
    <n v="1"/>
    <n v="0.3"/>
    <n v="142.22999999999999"/>
    <n v="-20"/>
    <n v="-0.14061730999085989"/>
  </r>
  <r>
    <s v="O00996"/>
    <d v="2025-06-13T00:00:00"/>
    <x v="6"/>
    <s v="C0287"/>
    <x v="23"/>
    <s v="No Campaign"/>
    <x v="1"/>
    <n v="1"/>
    <n v="0.1"/>
    <n v="344.5"/>
    <n v="59.54"/>
    <n v="0.17283018867924527"/>
  </r>
  <r>
    <s v="O00997"/>
    <d v="2024-06-30T00:00:00"/>
    <x v="12"/>
    <s v="C0016"/>
    <x v="20"/>
    <s v="No Campaign"/>
    <x v="1"/>
    <n v="5"/>
    <n v="0.15"/>
    <n v="402.18"/>
    <n v="31.78"/>
    <n v="7.9019344572082151E-2"/>
  </r>
  <r>
    <s v="O00998"/>
    <d v="2024-08-06T00:00:00"/>
    <x v="11"/>
    <s v="C0163"/>
    <x v="12"/>
    <s v="No Campaign"/>
    <x v="1"/>
    <n v="4"/>
    <n v="0.15"/>
    <n v="1137.67"/>
    <n v="390.47"/>
    <n v="0.34321903539690773"/>
  </r>
  <r>
    <s v="O00999"/>
    <d v="2025-05-12T00:00:00"/>
    <x v="0"/>
    <s v="C0223"/>
    <x v="11"/>
    <s v="CA004"/>
    <x v="0"/>
    <n v="2"/>
    <n v="0.15"/>
    <n v="628.97"/>
    <n v="284.63"/>
    <n v="0.45253350716250373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1F0211FB-6384-3E4C-BE5A-9A9763BF6D7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17" firstHeaderRow="0" firstDataRow="1" firstDataCol="1"/>
  <pivotFields count="12">
    <pivotField showAll="0"/>
    <pivotField numFmtId="14" showAll="0"/>
    <pivotField axis="axisRow" showAll="0">
      <items count="14">
        <item x="1"/>
        <item x="11"/>
        <item x="5"/>
        <item x="2"/>
        <item x="3"/>
        <item x="10"/>
        <item x="12"/>
        <item x="6"/>
        <item x="4"/>
        <item x="0"/>
        <item x="8"/>
        <item x="9"/>
        <item x="7"/>
        <item t="default"/>
      </items>
    </pivotField>
    <pivotField showAll="0"/>
    <pivotField showAll="0"/>
    <pivotField showAll="0"/>
    <pivotField showAll="0"/>
    <pivotField dataField="1" showAll="0"/>
    <pivotField numFmtId="9" showAll="0"/>
    <pivotField dataField="1" showAll="0"/>
    <pivotField dataField="1" numFmtId="164" showAll="0"/>
    <pivotField numFmtId="168"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Sales" fld="9" baseField="0" baseItem="0"/>
    <dataField name="Sum of Profit" fld="10" baseField="0" baseItem="0" numFmtId="164"/>
    <dataField name="Sum of Units_Sold" fld="7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DF32C097-8337-7F4D-895D-E838955C8916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0" firstDataRow="1" firstDataCol="1"/>
  <pivotFields count="12">
    <pivotField showAll="0"/>
    <pivotField numFmtId="14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numFmtId="9" showAll="0"/>
    <pivotField dataField="1" showAll="0"/>
    <pivotField dataField="1" numFmtId="164" showAll="0"/>
    <pivotField numFmtId="168" showAll="0"/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Sales" fld="9" baseField="0" baseItem="0"/>
    <dataField name="Sum of Profit" fld="10" baseField="0" baseItem="0" numFmtId="164"/>
    <dataField name="Sum of Units_Sold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934FC733-D8EA-6945-B913-171A00B01E9B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2">
    <pivotField showAll="0"/>
    <pivotField numFmtId="14" showAll="0"/>
    <pivotField showAll="0"/>
    <pivotField showAll="0"/>
    <pivotField axis="axisRow" showAll="0" measureFilter="1" sortType="descending">
      <items count="31">
        <item x="5"/>
        <item x="13"/>
        <item x="4"/>
        <item x="3"/>
        <item x="29"/>
        <item x="6"/>
        <item x="1"/>
        <item x="20"/>
        <item x="15"/>
        <item x="17"/>
        <item x="27"/>
        <item x="9"/>
        <item x="28"/>
        <item x="2"/>
        <item x="0"/>
        <item x="21"/>
        <item x="7"/>
        <item x="11"/>
        <item x="26"/>
        <item x="16"/>
        <item x="8"/>
        <item x="19"/>
        <item x="12"/>
        <item x="18"/>
        <item x="10"/>
        <item x="22"/>
        <item x="23"/>
        <item x="14"/>
        <item x="24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9" showAll="0"/>
    <pivotField dataField="1" showAll="0"/>
    <pivotField numFmtId="164" showAll="0"/>
    <pivotField numFmtId="168" showAll="0"/>
  </pivotFields>
  <rowFields count="1">
    <field x="4"/>
  </rowFields>
  <rowItems count="6">
    <i>
      <x v="16"/>
    </i>
    <i>
      <x v="18"/>
    </i>
    <i>
      <x v="29"/>
    </i>
    <i>
      <x v="6"/>
    </i>
    <i>
      <x v="17"/>
    </i>
    <i t="grand">
      <x/>
    </i>
  </rowItems>
  <colItems count="1">
    <i/>
  </colItems>
  <dataFields count="1">
    <dataField name="Sum of Total_Sales" fld="9" baseField="0" baseItem="0"/>
  </dataField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FF9F8DE8-12E2-A742-B3C1-2075C5295869}" name="Sales_Data" displayName="Sales_Data" ref="A1:L1001" totalsRowShown="0" headerRowDxfId="5">
  <autoFilter ref="A1:L1001" xr:uid="{FF9F8DE8-12E2-A742-B3C1-2075C5295869}"/>
  <tableColumns count="12">
    <tableColumn id="1" xr3:uid="{F73D967A-5252-B34A-8487-3FC353F62817}" name="Order_ID"/>
    <tableColumn id="2" xr3:uid="{C9E16C86-99EE-9248-96BF-B8D4793725BE}" name="Order_Date" dataDxfId="6"/>
    <tableColumn id="10" xr3:uid="{1B5BECB7-0E7B-AB4E-AD80-7299C79812EC}" name="Month" dataDxfId="2">
      <calculatedColumnFormula>TEXT(B2, "mmmm yyyy")</calculatedColumnFormula>
    </tableColumn>
    <tableColumn id="3" xr3:uid="{D7897DC9-ECE7-C446-9CE8-A959D9DB2BA9}" name="Customer_ID"/>
    <tableColumn id="4" xr3:uid="{9AE94A2E-3A0E-804D-B91D-8CCF2464F9A5}" name="Product_ID"/>
    <tableColumn id="5" xr3:uid="{416EE095-0FBC-FC4B-A36F-BB9AC276C24D}" name="Campaign_ID"/>
    <tableColumn id="11" xr3:uid="{D4424E34-4ADB-254F-A213-EF6F112A62E6}" name="Campaign_Flag" dataDxfId="1">
      <calculatedColumnFormula>IF(F2="No Campaign", "Non-Campaign", "Campaign")</calculatedColumnFormula>
    </tableColumn>
    <tableColumn id="6" xr3:uid="{7EF0CB5D-0D5C-8A4D-B67F-2C47904070DB}" name="Units_Sold"/>
    <tableColumn id="7" xr3:uid="{30D82AC0-82A8-954F-9F04-CBEBF545C118}" name="Discount" dataDxfId="4"/>
    <tableColumn id="8" xr3:uid="{4A08AC05-C927-EB4E-A878-7A6ADC9D5CB3}" name="Total_Sales"/>
    <tableColumn id="9" xr3:uid="{8DE2B6F1-4F22-7743-9145-7423547B6FBC}" name="Profit" dataDxfId="3"/>
    <tableColumn id="14" xr3:uid="{78E902BC-339C-D94B-B645-A2F6F889C9B1}" name="Profit_Margin" dataDxfId="0">
      <calculatedColumnFormula>IF(J2=0, 0,K2/J2)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40B89-8AAA-014D-89AB-BA91C8ECFDD1}">
  <dimension ref="A3:D17"/>
  <sheetViews>
    <sheetView tabSelected="1" workbookViewId="0">
      <selection activeCell="D11" sqref="D11"/>
    </sheetView>
  </sheetViews>
  <sheetFormatPr baseColWidth="10" defaultRowHeight="16" x14ac:dyDescent="0.2"/>
  <cols>
    <col min="1" max="1" width="14.33203125" bestFit="1" customWidth="1"/>
    <col min="2" max="2" width="16.6640625" bestFit="1" customWidth="1"/>
    <col min="3" max="3" width="11.83203125" bestFit="1" customWidth="1"/>
    <col min="4" max="4" width="15.83203125" bestFit="1" customWidth="1"/>
  </cols>
  <sheetData>
    <row r="3" spans="1:4" x14ac:dyDescent="0.2">
      <c r="A3" s="9" t="s">
        <v>1341</v>
      </c>
      <c r="B3" t="s">
        <v>1356</v>
      </c>
      <c r="C3" t="s">
        <v>1357</v>
      </c>
      <c r="D3" t="s">
        <v>1358</v>
      </c>
    </row>
    <row r="4" spans="1:4" x14ac:dyDescent="0.2">
      <c r="A4" s="10" t="s">
        <v>1342</v>
      </c>
      <c r="B4" s="11">
        <v>56572.320000000014</v>
      </c>
      <c r="C4" s="6">
        <v>17435.849999999999</v>
      </c>
      <c r="D4" s="11">
        <v>239</v>
      </c>
    </row>
    <row r="5" spans="1:4" x14ac:dyDescent="0.2">
      <c r="A5" s="10" t="s">
        <v>1343</v>
      </c>
      <c r="B5" s="11">
        <v>57402.279999999992</v>
      </c>
      <c r="C5" s="6">
        <v>20138.310000000009</v>
      </c>
      <c r="D5" s="11">
        <v>263</v>
      </c>
    </row>
    <row r="6" spans="1:4" x14ac:dyDescent="0.2">
      <c r="A6" s="10" t="s">
        <v>1344</v>
      </c>
      <c r="B6" s="11">
        <v>46421.850000000006</v>
      </c>
      <c r="C6" s="6">
        <v>14183.250000000005</v>
      </c>
      <c r="D6" s="11">
        <v>220</v>
      </c>
    </row>
    <row r="7" spans="1:4" x14ac:dyDescent="0.2">
      <c r="A7" s="10" t="s">
        <v>1345</v>
      </c>
      <c r="B7" s="11">
        <v>52014.760000000009</v>
      </c>
      <c r="C7" s="6">
        <v>14676.659999999996</v>
      </c>
      <c r="D7" s="11">
        <v>232</v>
      </c>
    </row>
    <row r="8" spans="1:4" x14ac:dyDescent="0.2">
      <c r="A8" s="10" t="s">
        <v>1346</v>
      </c>
      <c r="B8" s="11">
        <v>47766.640000000007</v>
      </c>
      <c r="C8" s="6">
        <v>13085.249999999993</v>
      </c>
      <c r="D8" s="11">
        <v>250</v>
      </c>
    </row>
    <row r="9" spans="1:4" x14ac:dyDescent="0.2">
      <c r="A9" s="10" t="s">
        <v>1347</v>
      </c>
      <c r="B9" s="11">
        <v>52476.290000000015</v>
      </c>
      <c r="C9" s="6">
        <v>16834.209999999995</v>
      </c>
      <c r="D9" s="11">
        <v>255</v>
      </c>
    </row>
    <row r="10" spans="1:4" x14ac:dyDescent="0.2">
      <c r="A10" s="10" t="s">
        <v>1348</v>
      </c>
      <c r="B10" s="11">
        <v>2723.87</v>
      </c>
      <c r="C10" s="6">
        <v>682.23</v>
      </c>
      <c r="D10" s="11">
        <v>23</v>
      </c>
    </row>
    <row r="11" spans="1:4" x14ac:dyDescent="0.2">
      <c r="A11" s="10" t="s">
        <v>1349</v>
      </c>
      <c r="B11" s="11">
        <v>49703.839999999997</v>
      </c>
      <c r="C11" s="6">
        <v>15098.520000000006</v>
      </c>
      <c r="D11" s="11">
        <v>246</v>
      </c>
    </row>
    <row r="12" spans="1:4" x14ac:dyDescent="0.2">
      <c r="A12" s="10" t="s">
        <v>1350</v>
      </c>
      <c r="B12" s="11">
        <v>42874.460000000006</v>
      </c>
      <c r="C12" s="6">
        <v>12365.459999999997</v>
      </c>
      <c r="D12" s="11">
        <v>217</v>
      </c>
    </row>
    <row r="13" spans="1:4" x14ac:dyDescent="0.2">
      <c r="A13" s="10" t="s">
        <v>1351</v>
      </c>
      <c r="B13" s="11">
        <v>70548.450000000012</v>
      </c>
      <c r="C13" s="6">
        <v>21452.439999999995</v>
      </c>
      <c r="D13" s="11">
        <v>316</v>
      </c>
    </row>
    <row r="14" spans="1:4" x14ac:dyDescent="0.2">
      <c r="A14" s="10" t="s">
        <v>1352</v>
      </c>
      <c r="B14" s="11">
        <v>53459.059999999983</v>
      </c>
      <c r="C14" s="6">
        <v>15086.720000000001</v>
      </c>
      <c r="D14" s="11">
        <v>228</v>
      </c>
    </row>
    <row r="15" spans="1:4" x14ac:dyDescent="0.2">
      <c r="A15" s="10" t="s">
        <v>1353</v>
      </c>
      <c r="B15" s="11">
        <v>61344.6</v>
      </c>
      <c r="C15" s="6">
        <v>18581.98</v>
      </c>
      <c r="D15" s="11">
        <v>334</v>
      </c>
    </row>
    <row r="16" spans="1:4" x14ac:dyDescent="0.2">
      <c r="A16" s="10" t="s">
        <v>1354</v>
      </c>
      <c r="B16" s="11">
        <v>50359.109999999993</v>
      </c>
      <c r="C16" s="6">
        <v>15730.859999999999</v>
      </c>
      <c r="D16" s="11">
        <v>220</v>
      </c>
    </row>
    <row r="17" spans="1:4" x14ac:dyDescent="0.2">
      <c r="A17" s="10" t="s">
        <v>1355</v>
      </c>
      <c r="B17" s="11">
        <v>643667.53</v>
      </c>
      <c r="C17" s="6">
        <v>195351.74</v>
      </c>
      <c r="D17" s="11">
        <v>3043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2FBD-1281-7844-A8B0-E4743FF66643}">
  <dimension ref="A3:D6"/>
  <sheetViews>
    <sheetView workbookViewId="0">
      <selection activeCell="D8" sqref="D8"/>
    </sheetView>
  </sheetViews>
  <sheetFormatPr baseColWidth="10" defaultRowHeight="16" x14ac:dyDescent="0.2"/>
  <cols>
    <col min="1" max="1" width="13.33203125" bestFit="1" customWidth="1"/>
    <col min="2" max="2" width="16.6640625" bestFit="1" customWidth="1"/>
    <col min="3" max="3" width="11.83203125" bestFit="1" customWidth="1"/>
    <col min="4" max="4" width="15.83203125" bestFit="1" customWidth="1"/>
  </cols>
  <sheetData>
    <row r="3" spans="1:4" x14ac:dyDescent="0.2">
      <c r="A3" s="9" t="s">
        <v>1341</v>
      </c>
      <c r="B3" t="s">
        <v>1356</v>
      </c>
      <c r="C3" t="s">
        <v>1357</v>
      </c>
      <c r="D3" t="s">
        <v>1358</v>
      </c>
    </row>
    <row r="4" spans="1:4" x14ac:dyDescent="0.2">
      <c r="A4" s="10" t="s">
        <v>1359</v>
      </c>
      <c r="B4" s="11">
        <v>388231.51999999996</v>
      </c>
      <c r="C4" s="6">
        <v>118425.35999999999</v>
      </c>
      <c r="D4" s="11">
        <v>1844</v>
      </c>
    </row>
    <row r="5" spans="1:4" x14ac:dyDescent="0.2">
      <c r="A5" s="10" t="s">
        <v>1360</v>
      </c>
      <c r="B5" s="11">
        <v>255436.01000000007</v>
      </c>
      <c r="C5" s="6">
        <v>76926.380000000034</v>
      </c>
      <c r="D5" s="11">
        <v>1199</v>
      </c>
    </row>
    <row r="6" spans="1:4" x14ac:dyDescent="0.2">
      <c r="A6" s="10" t="s">
        <v>1355</v>
      </c>
      <c r="B6" s="11">
        <v>643667.53</v>
      </c>
      <c r="C6" s="6">
        <v>195351.74000000002</v>
      </c>
      <c r="D6" s="11">
        <v>3043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A9002-0378-0741-9C35-1B51060EE3F2}">
  <dimension ref="A3:B9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6.6640625" bestFit="1" customWidth="1"/>
  </cols>
  <sheetData>
    <row r="3" spans="1:2" x14ac:dyDescent="0.2">
      <c r="A3" s="9" t="s">
        <v>1341</v>
      </c>
      <c r="B3" t="s">
        <v>1356</v>
      </c>
    </row>
    <row r="4" spans="1:2" x14ac:dyDescent="0.2">
      <c r="A4" s="10" t="s">
        <v>38</v>
      </c>
      <c r="B4" s="11">
        <v>46512.86</v>
      </c>
    </row>
    <row r="5" spans="1:2" x14ac:dyDescent="0.2">
      <c r="A5" s="10" t="s">
        <v>148</v>
      </c>
      <c r="B5" s="11">
        <v>41206.29</v>
      </c>
    </row>
    <row r="6" spans="1:2" x14ac:dyDescent="0.2">
      <c r="A6" s="10" t="s">
        <v>138</v>
      </c>
      <c r="B6" s="11">
        <v>40934.540000000008</v>
      </c>
    </row>
    <row r="7" spans="1:2" x14ac:dyDescent="0.2">
      <c r="A7" s="10" t="s">
        <v>15</v>
      </c>
      <c r="B7" s="11">
        <v>40923.020000000004</v>
      </c>
    </row>
    <row r="8" spans="1:2" x14ac:dyDescent="0.2">
      <c r="A8" s="10" t="s">
        <v>50</v>
      </c>
      <c r="B8" s="11">
        <v>39920.83</v>
      </c>
    </row>
    <row r="9" spans="1:2" x14ac:dyDescent="0.2">
      <c r="A9" s="10" t="s">
        <v>1355</v>
      </c>
      <c r="B9" s="11">
        <v>209497.54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CC4E7-E0B3-F545-9F33-86059CFD722D}">
  <dimension ref="A1:M1001"/>
  <sheetViews>
    <sheetView zoomScale="157" zoomScaleNormal="157" workbookViewId="0">
      <selection activeCell="B6" sqref="B6"/>
    </sheetView>
  </sheetViews>
  <sheetFormatPr baseColWidth="10" defaultRowHeight="16" x14ac:dyDescent="0.2"/>
  <cols>
    <col min="1" max="1" width="7.6640625" bestFit="1" customWidth="1"/>
    <col min="2" max="2" width="10.83203125" bestFit="1" customWidth="1"/>
    <col min="3" max="3" width="14.6640625" bestFit="1" customWidth="1"/>
    <col min="4" max="5" width="7.5" bestFit="1" customWidth="1"/>
    <col min="6" max="6" width="12" bestFit="1" customWidth="1"/>
    <col min="7" max="7" width="13.33203125" bestFit="1" customWidth="1"/>
    <col min="8" max="8" width="7.5" bestFit="1" customWidth="1"/>
    <col min="9" max="9" width="7.5" style="4" bestFit="1" customWidth="1"/>
    <col min="10" max="10" width="8.5" bestFit="1" customWidth="1"/>
    <col min="11" max="11" width="9.33203125" style="6" bestFit="1" customWidth="1"/>
    <col min="12" max="12" width="7.5" style="8" bestFit="1" customWidth="1"/>
    <col min="13" max="13" width="9.33203125" style="6" customWidth="1"/>
  </cols>
  <sheetData>
    <row r="1" spans="1:13" ht="69" x14ac:dyDescent="0.2">
      <c r="A1" s="2" t="s">
        <v>0</v>
      </c>
      <c r="B1" s="2" t="s">
        <v>1</v>
      </c>
      <c r="C1" s="2" t="s">
        <v>1338</v>
      </c>
      <c r="D1" s="2" t="s">
        <v>2</v>
      </c>
      <c r="E1" s="2" t="s">
        <v>3</v>
      </c>
      <c r="F1" s="2" t="s">
        <v>4</v>
      </c>
      <c r="G1" s="2" t="s">
        <v>1339</v>
      </c>
      <c r="H1" s="2" t="s">
        <v>5</v>
      </c>
      <c r="I1" s="3" t="s">
        <v>6</v>
      </c>
      <c r="J1" s="2" t="s">
        <v>7</v>
      </c>
      <c r="K1" s="5" t="s">
        <v>8</v>
      </c>
      <c r="L1" s="7" t="s">
        <v>1340</v>
      </c>
      <c r="M1" s="5"/>
    </row>
    <row r="2" spans="1:13" x14ac:dyDescent="0.2">
      <c r="A2" t="s">
        <v>9</v>
      </c>
      <c r="B2" s="1" t="d">
        <v>2025-05-25</v>
      </c>
      <c r="C2" s="1" t="str">
        <f t="shared" ref="C2:C65" si="0">TEXT(B2, "mmmm yyyy")</f>
        <v>May 2025</v>
      </c>
      <c r="D2" t="s">
        <v>10</v>
      </c>
      <c r="E2" t="s">
        <v>11</v>
      </c>
      <c r="F2" t="s">
        <v>12</v>
      </c>
      <c r="G2" t="str">
        <f t="shared" ref="G2:G65" si="1">IF(F2="No Campaign", "Non-Campaign", "Campaign")</f>
        <v>Campaign</v>
      </c>
      <c r="H2">
        <v>1</v>
      </c>
      <c r="I2" s="4">
        <v>0</v>
      </c>
      <c r="J2">
        <v>202.46</v>
      </c>
      <c r="K2" s="6">
        <v>84.76</v>
      </c>
      <c r="L2" s="8">
        <f t="shared" ref="L2:L65" si="2">IF(J2=0, 0,K2/J2)</f>
        <v>0.41865059764891832</v>
      </c>
    </row>
    <row r="3" spans="1:13" x14ac:dyDescent="0.2">
      <c r="A3" t="s">
        <v>13</v>
      </c>
      <c r="B3" s="1" t="d">
        <v>2025-04-18</v>
      </c>
      <c r="C3" s="1" t="str">
        <f t="shared" si="0"/>
        <v>April 2025</v>
      </c>
      <c r="D3" t="s">
        <v>14</v>
      </c>
      <c r="E3" t="s">
        <v>15</v>
      </c>
      <c r="F3" t="s">
        <v>16</v>
      </c>
      <c r="G3" t="str">
        <f t="shared" si="1"/>
        <v>Campaign</v>
      </c>
      <c r="H3">
        <v>5</v>
      </c>
      <c r="I3" s="4">
        <v>0.3</v>
      </c>
      <c r="J3">
        <v>1423.76</v>
      </c>
      <c r="K3" s="6">
        <v>42.21</v>
      </c>
      <c r="L3" s="8">
        <f t="shared" si="2"/>
        <v>2.964685059279654E-2</v>
      </c>
    </row>
    <row r="4" spans="1:13" x14ac:dyDescent="0.2">
      <c r="A4" t="s">
        <v>17</v>
      </c>
      <c r="B4" s="1" t="d">
        <v>2025-02-26</v>
      </c>
      <c r="C4" s="1" t="str">
        <f t="shared" si="0"/>
        <v>February 2025</v>
      </c>
      <c r="D4" t="s">
        <v>18</v>
      </c>
      <c r="E4" t="s">
        <v>19</v>
      </c>
      <c r="F4" t="s">
        <v>20</v>
      </c>
      <c r="G4" t="str">
        <f t="shared" si="1"/>
        <v>Campaign</v>
      </c>
      <c r="H4">
        <v>3</v>
      </c>
      <c r="I4" s="4">
        <v>0.05</v>
      </c>
      <c r="J4">
        <v>452.89</v>
      </c>
      <c r="K4" s="6">
        <v>246.97</v>
      </c>
      <c r="L4" s="8">
        <f t="shared" si="2"/>
        <v>0.54532005564265051</v>
      </c>
    </row>
    <row r="5" spans="1:13" x14ac:dyDescent="0.2">
      <c r="A5" t="s">
        <v>21</v>
      </c>
      <c r="B5" s="1" t="d">
        <v>2025-01-29</v>
      </c>
      <c r="C5" s="1" t="str">
        <f t="shared" si="0"/>
        <v>January 2025</v>
      </c>
      <c r="D5" t="s">
        <v>22</v>
      </c>
      <c r="E5" t="s">
        <v>23</v>
      </c>
      <c r="F5" t="s">
        <v>12</v>
      </c>
      <c r="G5" t="str">
        <f t="shared" si="1"/>
        <v>Campaign</v>
      </c>
      <c r="H5">
        <v>2</v>
      </c>
      <c r="I5" s="4">
        <v>0.15</v>
      </c>
      <c r="J5">
        <v>446.37</v>
      </c>
      <c r="K5" s="6">
        <v>230.73</v>
      </c>
      <c r="L5" s="8">
        <f t="shared" si="2"/>
        <v>0.51690301767591906</v>
      </c>
    </row>
    <row r="6" spans="1:13" x14ac:dyDescent="0.2">
      <c r="A6" t="s">
        <v>24</v>
      </c>
      <c r="B6" s="1" t="d">
        <v>2025-05-26</v>
      </c>
      <c r="C6" s="1" t="str">
        <f t="shared" si="0"/>
        <v>May 2025</v>
      </c>
      <c r="D6" t="s">
        <v>25</v>
      </c>
      <c r="E6" t="s">
        <v>26</v>
      </c>
      <c r="F6" t="s">
        <v>20</v>
      </c>
      <c r="G6" t="str">
        <f t="shared" si="1"/>
        <v>Campaign</v>
      </c>
      <c r="H6">
        <v>4</v>
      </c>
      <c r="I6" s="4">
        <v>0.2</v>
      </c>
      <c r="J6">
        <v>712.06</v>
      </c>
      <c r="K6" s="6">
        <v>345.42</v>
      </c>
      <c r="L6" s="8">
        <f t="shared" si="2"/>
        <v>0.48509957026093314</v>
      </c>
    </row>
    <row r="7" spans="1:13" x14ac:dyDescent="0.2">
      <c r="A7" t="s">
        <v>27</v>
      </c>
      <c r="B7" s="1" t="d">
        <v>2025-02-23</v>
      </c>
      <c r="C7" s="1" t="str">
        <f t="shared" si="0"/>
        <v>February 2025</v>
      </c>
      <c r="D7" t="s">
        <v>28</v>
      </c>
      <c r="E7" t="s">
        <v>29</v>
      </c>
      <c r="F7" t="s">
        <v>30</v>
      </c>
      <c r="G7" t="str">
        <f t="shared" si="1"/>
        <v>Campaign</v>
      </c>
      <c r="H7">
        <v>2</v>
      </c>
      <c r="I7" s="4">
        <v>0.1</v>
      </c>
      <c r="J7">
        <v>676.69</v>
      </c>
      <c r="K7" s="6">
        <v>302.29000000000002</v>
      </c>
      <c r="L7" s="8">
        <f t="shared" si="2"/>
        <v>0.44671858605860881</v>
      </c>
    </row>
    <row r="8" spans="1:13" x14ac:dyDescent="0.2">
      <c r="A8" t="s">
        <v>31</v>
      </c>
      <c r="B8" s="1" t="d">
        <v>2025-03-31</v>
      </c>
      <c r="C8" s="1" t="str">
        <f t="shared" si="0"/>
        <v>March 2025</v>
      </c>
      <c r="D8" t="s">
        <v>32</v>
      </c>
      <c r="E8" t="s">
        <v>29</v>
      </c>
      <c r="F8" t="s">
        <v>1337</v>
      </c>
      <c r="G8" t="str">
        <f t="shared" si="1"/>
        <v>Non-Campaign</v>
      </c>
      <c r="H8">
        <v>2</v>
      </c>
      <c r="I8" s="4">
        <v>0.2</v>
      </c>
      <c r="J8">
        <v>601.5</v>
      </c>
      <c r="K8" s="6">
        <v>227.1</v>
      </c>
      <c r="L8" s="8">
        <f t="shared" si="2"/>
        <v>0.37755610972568576</v>
      </c>
    </row>
    <row r="9" spans="1:13" x14ac:dyDescent="0.2">
      <c r="A9" t="s">
        <v>33</v>
      </c>
      <c r="B9" s="1" t="d">
        <v>2025-01-06</v>
      </c>
      <c r="C9" s="1" t="str">
        <f t="shared" si="0"/>
        <v>January 2025</v>
      </c>
      <c r="D9" t="s">
        <v>34</v>
      </c>
      <c r="E9" t="s">
        <v>35</v>
      </c>
      <c r="F9" t="s">
        <v>20</v>
      </c>
      <c r="G9" t="str">
        <f t="shared" si="1"/>
        <v>Campaign</v>
      </c>
      <c r="H9">
        <v>5</v>
      </c>
      <c r="I9" s="4">
        <v>0.1</v>
      </c>
      <c r="J9">
        <v>1362.82</v>
      </c>
      <c r="K9" s="6">
        <v>266.87</v>
      </c>
      <c r="L9" s="8">
        <f t="shared" si="2"/>
        <v>0.19582189871002775</v>
      </c>
    </row>
    <row r="10" spans="1:13" x14ac:dyDescent="0.2">
      <c r="A10" t="s">
        <v>36</v>
      </c>
      <c r="B10" s="1" t="d">
        <v>2024-12-08</v>
      </c>
      <c r="C10" s="1" t="str">
        <f t="shared" si="0"/>
        <v>December 2024</v>
      </c>
      <c r="D10" t="s">
        <v>37</v>
      </c>
      <c r="E10" t="s">
        <v>38</v>
      </c>
      <c r="F10" t="s">
        <v>12</v>
      </c>
      <c r="G10" t="str">
        <f t="shared" si="1"/>
        <v>Campaign</v>
      </c>
      <c r="H10">
        <v>4</v>
      </c>
      <c r="I10" s="4">
        <v>0.15</v>
      </c>
      <c r="J10">
        <v>1596.61</v>
      </c>
      <c r="K10" s="6">
        <v>358.37</v>
      </c>
      <c r="L10" s="8">
        <f t="shared" si="2"/>
        <v>0.22445681788288938</v>
      </c>
    </row>
    <row r="11" spans="1:13" x14ac:dyDescent="0.2">
      <c r="A11" t="s">
        <v>39</v>
      </c>
      <c r="B11" s="1" t="d">
        <v>2024-12-06</v>
      </c>
      <c r="C11" s="1" t="str">
        <f t="shared" si="0"/>
        <v>December 2024</v>
      </c>
      <c r="D11" t="s">
        <v>40</v>
      </c>
      <c r="E11" t="s">
        <v>41</v>
      </c>
      <c r="F11" t="s">
        <v>1337</v>
      </c>
      <c r="G11" t="str">
        <f t="shared" si="1"/>
        <v>Non-Campaign</v>
      </c>
      <c r="H11">
        <v>3</v>
      </c>
      <c r="I11" s="4">
        <v>0.1</v>
      </c>
      <c r="J11">
        <v>1119.07</v>
      </c>
      <c r="K11" s="6">
        <v>221.32</v>
      </c>
      <c r="L11" s="8">
        <f t="shared" si="2"/>
        <v>0.19777136372166174</v>
      </c>
    </row>
    <row r="12" spans="1:13" x14ac:dyDescent="0.2">
      <c r="A12" t="s">
        <v>42</v>
      </c>
      <c r="B12" s="1" t="d">
        <v>2025-06-03</v>
      </c>
      <c r="C12" s="1" t="str">
        <f t="shared" si="0"/>
        <v>June 2025</v>
      </c>
      <c r="D12" t="s">
        <v>43</v>
      </c>
      <c r="E12" t="s">
        <v>44</v>
      </c>
      <c r="F12" t="s">
        <v>20</v>
      </c>
      <c r="G12" t="str">
        <f t="shared" si="1"/>
        <v>Campaign</v>
      </c>
      <c r="H12">
        <v>3</v>
      </c>
      <c r="I12" s="4">
        <v>0.05</v>
      </c>
      <c r="J12">
        <v>458.08</v>
      </c>
      <c r="K12" s="6">
        <v>143.94999999999999</v>
      </c>
      <c r="L12" s="8">
        <f t="shared" si="2"/>
        <v>0.31424641983932938</v>
      </c>
    </row>
    <row r="13" spans="1:13" x14ac:dyDescent="0.2">
      <c r="A13" t="s">
        <v>45</v>
      </c>
      <c r="B13" s="1" t="d">
        <v>2025-06-08</v>
      </c>
      <c r="C13" s="1" t="str">
        <f t="shared" si="0"/>
        <v>June 2025</v>
      </c>
      <c r="D13" t="s">
        <v>46</v>
      </c>
      <c r="E13" t="s">
        <v>47</v>
      </c>
      <c r="F13" t="s">
        <v>1337</v>
      </c>
      <c r="G13" t="str">
        <f t="shared" si="1"/>
        <v>Non-Campaign</v>
      </c>
      <c r="H13">
        <v>2</v>
      </c>
      <c r="I13" s="4">
        <v>0</v>
      </c>
      <c r="J13">
        <v>601.20000000000005</v>
      </c>
      <c r="K13" s="6">
        <v>144.82</v>
      </c>
      <c r="L13" s="8">
        <f t="shared" si="2"/>
        <v>0.24088489687292081</v>
      </c>
    </row>
    <row r="14" spans="1:13" x14ac:dyDescent="0.2">
      <c r="A14" t="s">
        <v>48</v>
      </c>
      <c r="B14" s="1" t="d">
        <v>2025-01-20</v>
      </c>
      <c r="C14" s="1" t="str">
        <f t="shared" si="0"/>
        <v>January 2025</v>
      </c>
      <c r="D14" t="s">
        <v>49</v>
      </c>
      <c r="E14" t="s">
        <v>50</v>
      </c>
      <c r="F14" t="s">
        <v>1337</v>
      </c>
      <c r="G14" t="str">
        <f t="shared" si="1"/>
        <v>Non-Campaign</v>
      </c>
      <c r="H14">
        <v>2</v>
      </c>
      <c r="I14" s="4">
        <v>0.3</v>
      </c>
      <c r="J14">
        <v>517.97</v>
      </c>
      <c r="K14" s="6">
        <v>173.63</v>
      </c>
      <c r="L14" s="8">
        <f t="shared" si="2"/>
        <v>0.33521246404231902</v>
      </c>
    </row>
    <row r="15" spans="1:13" x14ac:dyDescent="0.2">
      <c r="A15" t="s">
        <v>51</v>
      </c>
      <c r="B15" s="1" t="d">
        <v>2025-04-19</v>
      </c>
      <c r="C15" s="1" t="str">
        <f t="shared" si="0"/>
        <v>April 2025</v>
      </c>
      <c r="D15" t="s">
        <v>52</v>
      </c>
      <c r="E15" t="s">
        <v>53</v>
      </c>
      <c r="F15" t="s">
        <v>1337</v>
      </c>
      <c r="G15" t="str">
        <f t="shared" si="1"/>
        <v>Non-Campaign</v>
      </c>
      <c r="H15">
        <v>2</v>
      </c>
      <c r="I15" s="4">
        <v>0.05</v>
      </c>
      <c r="J15">
        <v>635.76</v>
      </c>
      <c r="K15" s="6">
        <v>262.16000000000003</v>
      </c>
      <c r="L15" s="8">
        <f t="shared" si="2"/>
        <v>0.41235686422549395</v>
      </c>
    </row>
    <row r="16" spans="1:13" x14ac:dyDescent="0.2">
      <c r="A16" t="s">
        <v>54</v>
      </c>
      <c r="B16" s="1" t="d">
        <v>2024-09-28</v>
      </c>
      <c r="C16" s="1" t="str">
        <f t="shared" si="0"/>
        <v>September 2024</v>
      </c>
      <c r="D16" t="s">
        <v>55</v>
      </c>
      <c r="E16" t="s">
        <v>53</v>
      </c>
      <c r="F16" t="s">
        <v>1337</v>
      </c>
      <c r="G16" t="str">
        <f t="shared" si="1"/>
        <v>Non-Campaign</v>
      </c>
      <c r="H16">
        <v>1</v>
      </c>
      <c r="I16" s="4">
        <v>0.1</v>
      </c>
      <c r="J16">
        <v>301.14999999999998</v>
      </c>
      <c r="K16" s="6">
        <v>114.35</v>
      </c>
      <c r="L16" s="8">
        <f t="shared" si="2"/>
        <v>0.37971110742155073</v>
      </c>
    </row>
    <row r="17" spans="1:12" x14ac:dyDescent="0.2">
      <c r="A17" t="s">
        <v>56</v>
      </c>
      <c r="B17" s="1" t="d">
        <v>2024-12-10</v>
      </c>
      <c r="C17" s="1" t="str">
        <f t="shared" si="0"/>
        <v>December 2024</v>
      </c>
      <c r="D17" t="s">
        <v>57</v>
      </c>
      <c r="E17" t="s">
        <v>58</v>
      </c>
      <c r="F17" t="s">
        <v>30</v>
      </c>
      <c r="G17" t="str">
        <f t="shared" si="1"/>
        <v>Campaign</v>
      </c>
      <c r="H17">
        <v>1</v>
      </c>
      <c r="I17" s="4">
        <v>0.1</v>
      </c>
      <c r="J17">
        <v>62.28</v>
      </c>
      <c r="K17" s="6">
        <v>14.1</v>
      </c>
      <c r="L17" s="8">
        <f t="shared" si="2"/>
        <v>0.22639691714836221</v>
      </c>
    </row>
    <row r="18" spans="1:12" x14ac:dyDescent="0.2">
      <c r="A18" t="s">
        <v>59</v>
      </c>
      <c r="B18" s="1" t="d">
        <v>2025-02-21</v>
      </c>
      <c r="C18" s="1" t="str">
        <f t="shared" si="0"/>
        <v>February 2025</v>
      </c>
      <c r="D18" t="s">
        <v>60</v>
      </c>
      <c r="E18" t="s">
        <v>38</v>
      </c>
      <c r="F18" t="s">
        <v>1337</v>
      </c>
      <c r="G18" t="str">
        <f t="shared" si="1"/>
        <v>Non-Campaign</v>
      </c>
      <c r="H18">
        <v>5</v>
      </c>
      <c r="I18" s="4">
        <v>0.15</v>
      </c>
      <c r="J18">
        <v>1995.76</v>
      </c>
      <c r="K18" s="6">
        <v>447.96</v>
      </c>
      <c r="L18" s="8">
        <f t="shared" si="2"/>
        <v>0.22445584639435603</v>
      </c>
    </row>
    <row r="19" spans="1:12" x14ac:dyDescent="0.2">
      <c r="A19" t="s">
        <v>61</v>
      </c>
      <c r="B19" s="1" t="d">
        <v>2024-11-21</v>
      </c>
      <c r="C19" s="1" t="str">
        <f t="shared" si="0"/>
        <v>November 2024</v>
      </c>
      <c r="D19" t="s">
        <v>62</v>
      </c>
      <c r="E19" t="s">
        <v>58</v>
      </c>
      <c r="F19" t="s">
        <v>30</v>
      </c>
      <c r="G19" t="str">
        <f t="shared" si="1"/>
        <v>Campaign</v>
      </c>
      <c r="H19">
        <v>3</v>
      </c>
      <c r="I19" s="4">
        <v>0.1</v>
      </c>
      <c r="J19">
        <v>186.84</v>
      </c>
      <c r="K19" s="6">
        <v>42.3</v>
      </c>
      <c r="L19" s="8">
        <f t="shared" si="2"/>
        <v>0.22639691714836221</v>
      </c>
    </row>
    <row r="20" spans="1:12" x14ac:dyDescent="0.2">
      <c r="A20" t="s">
        <v>63</v>
      </c>
      <c r="B20" s="1" t="d">
        <v>2025-06-23</v>
      </c>
      <c r="C20" s="1" t="str">
        <f t="shared" si="0"/>
        <v>June 2025</v>
      </c>
      <c r="D20" t="s">
        <v>64</v>
      </c>
      <c r="E20" t="s">
        <v>65</v>
      </c>
      <c r="F20" t="s">
        <v>1337</v>
      </c>
      <c r="G20" t="str">
        <f t="shared" si="1"/>
        <v>Non-Campaign</v>
      </c>
      <c r="H20">
        <v>3</v>
      </c>
      <c r="I20" s="4">
        <v>0</v>
      </c>
      <c r="J20">
        <v>290.37</v>
      </c>
      <c r="K20" s="6">
        <v>95.19</v>
      </c>
      <c r="L20" s="8">
        <f t="shared" si="2"/>
        <v>0.32782312222337018</v>
      </c>
    </row>
    <row r="21" spans="1:12" x14ac:dyDescent="0.2">
      <c r="A21" t="s">
        <v>66</v>
      </c>
      <c r="B21" s="1" t="d">
        <v>2024-11-09</v>
      </c>
      <c r="C21" s="1" t="str">
        <f t="shared" si="0"/>
        <v>November 2024</v>
      </c>
      <c r="D21" t="s">
        <v>67</v>
      </c>
      <c r="E21" t="s">
        <v>19</v>
      </c>
      <c r="F21" t="s">
        <v>1337</v>
      </c>
      <c r="G21" t="str">
        <f t="shared" si="1"/>
        <v>Non-Campaign</v>
      </c>
      <c r="H21">
        <v>4</v>
      </c>
      <c r="I21" s="4">
        <v>0.15</v>
      </c>
      <c r="J21">
        <v>540.29</v>
      </c>
      <c r="K21" s="6">
        <v>265.73</v>
      </c>
      <c r="L21" s="8">
        <f t="shared" si="2"/>
        <v>0.49182846249236528</v>
      </c>
    </row>
    <row r="22" spans="1:12" x14ac:dyDescent="0.2">
      <c r="A22" t="s">
        <v>68</v>
      </c>
      <c r="B22" s="1" t="d">
        <v>2024-09-15</v>
      </c>
      <c r="C22" s="1" t="str">
        <f t="shared" si="0"/>
        <v>September 2024</v>
      </c>
      <c r="D22" t="s">
        <v>69</v>
      </c>
      <c r="E22" t="s">
        <v>35</v>
      </c>
      <c r="F22" t="s">
        <v>1337</v>
      </c>
      <c r="G22" t="str">
        <f t="shared" si="1"/>
        <v>Non-Campaign</v>
      </c>
      <c r="H22">
        <v>4</v>
      </c>
      <c r="I22" s="4">
        <v>0.1</v>
      </c>
      <c r="J22">
        <v>1090.26</v>
      </c>
      <c r="K22" s="6">
        <v>213.5</v>
      </c>
      <c r="L22" s="8">
        <f t="shared" si="2"/>
        <v>0.19582484911855888</v>
      </c>
    </row>
    <row r="23" spans="1:12" x14ac:dyDescent="0.2">
      <c r="A23" t="s">
        <v>70</v>
      </c>
      <c r="B23" s="1" t="d">
        <v>2025-06-23</v>
      </c>
      <c r="C23" s="1" t="str">
        <f t="shared" si="0"/>
        <v>June 2025</v>
      </c>
      <c r="D23" t="s">
        <v>71</v>
      </c>
      <c r="E23" t="s">
        <v>72</v>
      </c>
      <c r="F23" t="s">
        <v>20</v>
      </c>
      <c r="G23" t="str">
        <f t="shared" si="1"/>
        <v>Campaign</v>
      </c>
      <c r="H23">
        <v>4</v>
      </c>
      <c r="I23" s="4">
        <v>0</v>
      </c>
      <c r="J23">
        <v>258.08</v>
      </c>
      <c r="K23" s="6">
        <v>144.88</v>
      </c>
      <c r="L23" s="8">
        <f t="shared" si="2"/>
        <v>0.56137631742095473</v>
      </c>
    </row>
    <row r="24" spans="1:12" x14ac:dyDescent="0.2">
      <c r="A24" t="s">
        <v>73</v>
      </c>
      <c r="B24" s="1" t="d">
        <v>2024-10-11</v>
      </c>
      <c r="C24" s="1" t="str">
        <f t="shared" si="0"/>
        <v>October 2024</v>
      </c>
      <c r="D24" t="s">
        <v>74</v>
      </c>
      <c r="E24" t="s">
        <v>75</v>
      </c>
      <c r="F24" t="s">
        <v>16</v>
      </c>
      <c r="G24" t="str">
        <f t="shared" si="1"/>
        <v>Campaign</v>
      </c>
      <c r="H24">
        <v>5</v>
      </c>
      <c r="I24" s="4">
        <v>0.1</v>
      </c>
      <c r="J24">
        <v>790.47</v>
      </c>
      <c r="K24" s="6">
        <v>169.22</v>
      </c>
      <c r="L24" s="8">
        <f t="shared" si="2"/>
        <v>0.21407517046820246</v>
      </c>
    </row>
    <row r="25" spans="1:12" x14ac:dyDescent="0.2">
      <c r="A25" t="s">
        <v>76</v>
      </c>
      <c r="B25" s="1" t="d">
        <v>2025-06-27</v>
      </c>
      <c r="C25" s="1" t="str">
        <f t="shared" si="0"/>
        <v>June 2025</v>
      </c>
      <c r="D25" t="s">
        <v>77</v>
      </c>
      <c r="E25" t="s">
        <v>23</v>
      </c>
      <c r="F25" t="s">
        <v>20</v>
      </c>
      <c r="G25" t="str">
        <f t="shared" si="1"/>
        <v>Campaign</v>
      </c>
      <c r="H25">
        <v>3</v>
      </c>
      <c r="I25" s="4">
        <v>0.3</v>
      </c>
      <c r="J25">
        <v>551.4</v>
      </c>
      <c r="K25" s="6">
        <v>227.94</v>
      </c>
      <c r="L25" s="8">
        <f t="shared" si="2"/>
        <v>0.41338411316648532</v>
      </c>
    </row>
    <row r="26" spans="1:12" x14ac:dyDescent="0.2">
      <c r="A26" t="s">
        <v>78</v>
      </c>
      <c r="B26" s="1" t="d">
        <v>2025-03-14</v>
      </c>
      <c r="C26" s="1" t="str">
        <f t="shared" si="0"/>
        <v>March 2025</v>
      </c>
      <c r="D26" t="s">
        <v>79</v>
      </c>
      <c r="E26" t="s">
        <v>80</v>
      </c>
      <c r="F26" t="s">
        <v>1337</v>
      </c>
      <c r="G26" t="str">
        <f t="shared" si="1"/>
        <v>Non-Campaign</v>
      </c>
      <c r="H26">
        <v>5</v>
      </c>
      <c r="I26" s="4">
        <v>0.3</v>
      </c>
      <c r="J26">
        <v>514.4</v>
      </c>
      <c r="K26" s="6">
        <v>207.7</v>
      </c>
      <c r="L26" s="8">
        <f t="shared" si="2"/>
        <v>0.40377138413685848</v>
      </c>
    </row>
    <row r="27" spans="1:12" x14ac:dyDescent="0.2">
      <c r="A27" t="s">
        <v>81</v>
      </c>
      <c r="B27" s="1" t="d">
        <v>2024-10-29</v>
      </c>
      <c r="C27" s="1" t="str">
        <f t="shared" si="0"/>
        <v>October 2024</v>
      </c>
      <c r="D27" t="s">
        <v>82</v>
      </c>
      <c r="E27" t="s">
        <v>35</v>
      </c>
      <c r="F27" t="s">
        <v>1337</v>
      </c>
      <c r="G27" t="str">
        <f t="shared" si="1"/>
        <v>Non-Campaign</v>
      </c>
      <c r="H27">
        <v>3</v>
      </c>
      <c r="I27" s="4">
        <v>0.15</v>
      </c>
      <c r="J27">
        <v>772.27</v>
      </c>
      <c r="K27" s="6">
        <v>114.7</v>
      </c>
      <c r="L27" s="8">
        <f t="shared" si="2"/>
        <v>0.14852318489647404</v>
      </c>
    </row>
    <row r="28" spans="1:12" x14ac:dyDescent="0.2">
      <c r="A28" t="s">
        <v>83</v>
      </c>
      <c r="B28" s="1" t="d">
        <v>2024-10-14</v>
      </c>
      <c r="C28" s="1" t="str">
        <f t="shared" si="0"/>
        <v>October 2024</v>
      </c>
      <c r="D28" t="s">
        <v>84</v>
      </c>
      <c r="E28" t="s">
        <v>85</v>
      </c>
      <c r="F28" t="s">
        <v>1337</v>
      </c>
      <c r="G28" t="str">
        <f t="shared" si="1"/>
        <v>Non-Campaign</v>
      </c>
      <c r="H28">
        <v>5</v>
      </c>
      <c r="I28" s="4">
        <v>0.15</v>
      </c>
      <c r="J28">
        <v>625.34</v>
      </c>
      <c r="K28" s="6">
        <v>258.49</v>
      </c>
      <c r="L28" s="8">
        <f t="shared" si="2"/>
        <v>0.41335913263184826</v>
      </c>
    </row>
    <row r="29" spans="1:12" x14ac:dyDescent="0.2">
      <c r="A29" t="s">
        <v>86</v>
      </c>
      <c r="B29" s="1" t="d">
        <v>2024-12-13</v>
      </c>
      <c r="C29" s="1" t="str">
        <f t="shared" si="0"/>
        <v>December 2024</v>
      </c>
      <c r="D29" t="s">
        <v>87</v>
      </c>
      <c r="E29" t="s">
        <v>41</v>
      </c>
      <c r="F29" t="s">
        <v>12</v>
      </c>
      <c r="G29" t="str">
        <f t="shared" si="1"/>
        <v>Campaign</v>
      </c>
      <c r="H29">
        <v>1</v>
      </c>
      <c r="I29" s="4">
        <v>0.3</v>
      </c>
      <c r="J29">
        <v>290.13</v>
      </c>
      <c r="K29" s="6">
        <v>-9.1199999999999992</v>
      </c>
      <c r="L29" s="8">
        <f t="shared" si="2"/>
        <v>-3.1434184675834968E-2</v>
      </c>
    </row>
    <row r="30" spans="1:12" x14ac:dyDescent="0.2">
      <c r="A30" t="s">
        <v>88</v>
      </c>
      <c r="B30" s="1" t="d">
        <v>2024-12-21</v>
      </c>
      <c r="C30" s="1" t="str">
        <f t="shared" si="0"/>
        <v>December 2024</v>
      </c>
      <c r="D30" t="s">
        <v>89</v>
      </c>
      <c r="E30" t="s">
        <v>44</v>
      </c>
      <c r="F30" t="s">
        <v>16</v>
      </c>
      <c r="G30" t="str">
        <f t="shared" si="1"/>
        <v>Campaign</v>
      </c>
      <c r="H30">
        <v>1</v>
      </c>
      <c r="I30" s="4">
        <v>0.05</v>
      </c>
      <c r="J30">
        <v>152.69</v>
      </c>
      <c r="K30" s="6">
        <v>47.98</v>
      </c>
      <c r="L30" s="8">
        <f t="shared" si="2"/>
        <v>0.31423144934180364</v>
      </c>
    </row>
    <row r="31" spans="1:12" x14ac:dyDescent="0.2">
      <c r="A31" t="s">
        <v>90</v>
      </c>
      <c r="B31" s="1" t="d">
        <v>2024-10-05</v>
      </c>
      <c r="C31" s="1" t="str">
        <f t="shared" si="0"/>
        <v>October 2024</v>
      </c>
      <c r="D31" t="s">
        <v>91</v>
      </c>
      <c r="E31" t="s">
        <v>58</v>
      </c>
      <c r="F31" t="s">
        <v>16</v>
      </c>
      <c r="G31" t="str">
        <f t="shared" si="1"/>
        <v>Campaign</v>
      </c>
      <c r="H31">
        <v>1</v>
      </c>
      <c r="I31" s="4">
        <v>0.05</v>
      </c>
      <c r="J31">
        <v>65.739999999999995</v>
      </c>
      <c r="K31" s="6">
        <v>17.559999999999999</v>
      </c>
      <c r="L31" s="8">
        <f t="shared" si="2"/>
        <v>0.26711286887739583</v>
      </c>
    </row>
    <row r="32" spans="1:12" x14ac:dyDescent="0.2">
      <c r="A32" t="s">
        <v>92</v>
      </c>
      <c r="B32" s="1" t="d">
        <v>2025-02-24</v>
      </c>
      <c r="C32" s="1" t="str">
        <f t="shared" si="0"/>
        <v>February 2025</v>
      </c>
      <c r="D32" t="s">
        <v>93</v>
      </c>
      <c r="E32" t="s">
        <v>44</v>
      </c>
      <c r="F32" t="s">
        <v>1337</v>
      </c>
      <c r="G32" t="str">
        <f t="shared" si="1"/>
        <v>Non-Campaign</v>
      </c>
      <c r="H32">
        <v>5</v>
      </c>
      <c r="I32" s="4">
        <v>0</v>
      </c>
      <c r="J32">
        <v>803.65</v>
      </c>
      <c r="K32" s="6">
        <v>280.10000000000002</v>
      </c>
      <c r="L32" s="8">
        <f t="shared" si="2"/>
        <v>0.34853480992969582</v>
      </c>
    </row>
    <row r="33" spans="1:12" x14ac:dyDescent="0.2">
      <c r="A33" t="s">
        <v>94</v>
      </c>
      <c r="B33" s="1" t="d">
        <v>2024-12-16</v>
      </c>
      <c r="C33" s="1" t="str">
        <f t="shared" si="0"/>
        <v>December 2024</v>
      </c>
      <c r="D33" t="s">
        <v>95</v>
      </c>
      <c r="E33" t="s">
        <v>96</v>
      </c>
      <c r="F33" t="s">
        <v>1337</v>
      </c>
      <c r="G33" t="str">
        <f t="shared" si="1"/>
        <v>Non-Campaign</v>
      </c>
      <c r="H33">
        <v>3</v>
      </c>
      <c r="I33" s="4">
        <v>0.1</v>
      </c>
      <c r="J33">
        <v>139.78</v>
      </c>
      <c r="K33" s="6">
        <v>20.92</v>
      </c>
      <c r="L33" s="8">
        <f t="shared" si="2"/>
        <v>0.14966375733295179</v>
      </c>
    </row>
    <row r="34" spans="1:12" x14ac:dyDescent="0.2">
      <c r="A34" t="s">
        <v>97</v>
      </c>
      <c r="B34" s="1" t="d">
        <v>2025-05-21</v>
      </c>
      <c r="C34" s="1" t="str">
        <f t="shared" si="0"/>
        <v>May 2025</v>
      </c>
      <c r="D34" t="s">
        <v>98</v>
      </c>
      <c r="E34" t="s">
        <v>47</v>
      </c>
      <c r="F34" t="s">
        <v>20</v>
      </c>
      <c r="G34" t="str">
        <f t="shared" si="1"/>
        <v>Campaign</v>
      </c>
      <c r="H34">
        <v>5</v>
      </c>
      <c r="I34" s="4">
        <v>0.05</v>
      </c>
      <c r="J34">
        <v>1427.85</v>
      </c>
      <c r="K34" s="6">
        <v>286.89999999999998</v>
      </c>
      <c r="L34" s="8">
        <f t="shared" si="2"/>
        <v>0.20093147039254824</v>
      </c>
    </row>
    <row r="35" spans="1:12" x14ac:dyDescent="0.2">
      <c r="A35" t="s">
        <v>99</v>
      </c>
      <c r="B35" s="1" t="d">
        <v>2024-11-18</v>
      </c>
      <c r="C35" s="1" t="str">
        <f t="shared" si="0"/>
        <v>November 2024</v>
      </c>
      <c r="D35" t="s">
        <v>100</v>
      </c>
      <c r="E35" t="s">
        <v>44</v>
      </c>
      <c r="F35" t="s">
        <v>1337</v>
      </c>
      <c r="G35" t="str">
        <f t="shared" si="1"/>
        <v>Non-Campaign</v>
      </c>
      <c r="H35">
        <v>3</v>
      </c>
      <c r="I35" s="4">
        <v>0.3</v>
      </c>
      <c r="J35">
        <v>337.53</v>
      </c>
      <c r="K35" s="6">
        <v>23.4</v>
      </c>
      <c r="L35" s="8">
        <f t="shared" si="2"/>
        <v>6.9327170918140613E-2</v>
      </c>
    </row>
    <row r="36" spans="1:12" x14ac:dyDescent="0.2">
      <c r="A36" t="s">
        <v>101</v>
      </c>
      <c r="B36" s="1" t="d">
        <v>2025-01-13</v>
      </c>
      <c r="C36" s="1" t="str">
        <f t="shared" si="0"/>
        <v>January 2025</v>
      </c>
      <c r="D36" t="s">
        <v>102</v>
      </c>
      <c r="E36" t="s">
        <v>103</v>
      </c>
      <c r="F36" t="s">
        <v>20</v>
      </c>
      <c r="G36" t="str">
        <f t="shared" si="1"/>
        <v>Campaign</v>
      </c>
      <c r="H36">
        <v>1</v>
      </c>
      <c r="I36" s="4">
        <v>0.3</v>
      </c>
      <c r="J36">
        <v>66.239999999999995</v>
      </c>
      <c r="K36" s="6">
        <v>-7.84</v>
      </c>
      <c r="L36" s="8">
        <f t="shared" si="2"/>
        <v>-0.11835748792270533</v>
      </c>
    </row>
    <row r="37" spans="1:12" x14ac:dyDescent="0.2">
      <c r="A37" t="s">
        <v>104</v>
      </c>
      <c r="B37" s="1" t="d">
        <v>2024-07-03</v>
      </c>
      <c r="C37" s="1" t="str">
        <f t="shared" si="0"/>
        <v>July 2024</v>
      </c>
      <c r="D37" t="s">
        <v>105</v>
      </c>
      <c r="E37" t="s">
        <v>106</v>
      </c>
      <c r="F37" t="s">
        <v>1337</v>
      </c>
      <c r="G37" t="str">
        <f t="shared" si="1"/>
        <v>Non-Campaign</v>
      </c>
      <c r="H37">
        <v>5</v>
      </c>
      <c r="I37" s="4">
        <v>0</v>
      </c>
      <c r="J37">
        <v>988.45</v>
      </c>
      <c r="K37" s="6">
        <v>510.25</v>
      </c>
      <c r="L37" s="8">
        <f t="shared" si="2"/>
        <v>0.51621225150488137</v>
      </c>
    </row>
    <row r="38" spans="1:12" x14ac:dyDescent="0.2">
      <c r="A38" t="s">
        <v>107</v>
      </c>
      <c r="B38" s="1" t="d">
        <v>2024-09-20</v>
      </c>
      <c r="C38" s="1" t="str">
        <f t="shared" si="0"/>
        <v>September 2024</v>
      </c>
      <c r="D38" t="s">
        <v>108</v>
      </c>
      <c r="E38" t="s">
        <v>47</v>
      </c>
      <c r="F38" t="s">
        <v>109</v>
      </c>
      <c r="G38" t="str">
        <f t="shared" si="1"/>
        <v>Campaign</v>
      </c>
      <c r="H38">
        <v>4</v>
      </c>
      <c r="I38" s="4">
        <v>0.05</v>
      </c>
      <c r="J38">
        <v>1142.28</v>
      </c>
      <c r="K38" s="6">
        <v>229.52</v>
      </c>
      <c r="L38" s="8">
        <f t="shared" si="2"/>
        <v>0.20093147039254824</v>
      </c>
    </row>
    <row r="39" spans="1:12" x14ac:dyDescent="0.2">
      <c r="A39" t="s">
        <v>110</v>
      </c>
      <c r="B39" s="1" t="d">
        <v>2024-10-31</v>
      </c>
      <c r="C39" s="1" t="str">
        <f t="shared" si="0"/>
        <v>October 2024</v>
      </c>
      <c r="D39" t="s">
        <v>111</v>
      </c>
      <c r="E39" t="s">
        <v>53</v>
      </c>
      <c r="F39" t="s">
        <v>1337</v>
      </c>
      <c r="G39" t="str">
        <f t="shared" si="1"/>
        <v>Non-Campaign</v>
      </c>
      <c r="H39">
        <v>2</v>
      </c>
      <c r="I39" s="4">
        <v>0</v>
      </c>
      <c r="J39">
        <v>669.22</v>
      </c>
      <c r="K39" s="6">
        <v>295.62</v>
      </c>
      <c r="L39" s="8">
        <f t="shared" si="2"/>
        <v>0.44173814291264457</v>
      </c>
    </row>
    <row r="40" spans="1:12" x14ac:dyDescent="0.2">
      <c r="A40" t="s">
        <v>112</v>
      </c>
      <c r="B40" s="1" t="d">
        <v>2024-07-10</v>
      </c>
      <c r="C40" s="1" t="str">
        <f t="shared" si="0"/>
        <v>July 2024</v>
      </c>
      <c r="D40" t="s">
        <v>113</v>
      </c>
      <c r="E40" t="s">
        <v>65</v>
      </c>
      <c r="F40" t="s">
        <v>20</v>
      </c>
      <c r="G40" t="str">
        <f t="shared" si="1"/>
        <v>Campaign</v>
      </c>
      <c r="H40">
        <v>4</v>
      </c>
      <c r="I40" s="4">
        <v>0.05</v>
      </c>
      <c r="J40">
        <v>367.8</v>
      </c>
      <c r="K40" s="6">
        <v>107.56</v>
      </c>
      <c r="L40" s="8">
        <f t="shared" si="2"/>
        <v>0.29244154431756392</v>
      </c>
    </row>
    <row r="41" spans="1:12" x14ac:dyDescent="0.2">
      <c r="A41" t="s">
        <v>114</v>
      </c>
      <c r="B41" s="1" t="d">
        <v>2025-05-13</v>
      </c>
      <c r="C41" s="1" t="str">
        <f t="shared" si="0"/>
        <v>May 2025</v>
      </c>
      <c r="D41" t="s">
        <v>98</v>
      </c>
      <c r="E41" t="s">
        <v>26</v>
      </c>
      <c r="F41" t="s">
        <v>1337</v>
      </c>
      <c r="G41" t="str">
        <f t="shared" si="1"/>
        <v>Non-Campaign</v>
      </c>
      <c r="H41">
        <v>3</v>
      </c>
      <c r="I41" s="4">
        <v>0.3</v>
      </c>
      <c r="J41">
        <v>467.29</v>
      </c>
      <c r="K41" s="6">
        <v>192.31</v>
      </c>
      <c r="L41" s="8">
        <f t="shared" si="2"/>
        <v>0.41154315307410816</v>
      </c>
    </row>
    <row r="42" spans="1:12" x14ac:dyDescent="0.2">
      <c r="A42" t="s">
        <v>115</v>
      </c>
      <c r="B42" s="1" t="d">
        <v>2025-06-15</v>
      </c>
      <c r="C42" s="1" t="str">
        <f t="shared" si="0"/>
        <v>June 2025</v>
      </c>
      <c r="D42" t="s">
        <v>116</v>
      </c>
      <c r="E42" t="s">
        <v>50</v>
      </c>
      <c r="F42" t="s">
        <v>109</v>
      </c>
      <c r="G42" t="str">
        <f t="shared" si="1"/>
        <v>Campaign</v>
      </c>
      <c r="H42">
        <v>3</v>
      </c>
      <c r="I42" s="4">
        <v>0.05</v>
      </c>
      <c r="J42">
        <v>1054.44</v>
      </c>
      <c r="K42" s="6">
        <v>537.92999999999995</v>
      </c>
      <c r="L42" s="8">
        <f t="shared" si="2"/>
        <v>0.51015705018777735</v>
      </c>
    </row>
    <row r="43" spans="1:12" x14ac:dyDescent="0.2">
      <c r="A43" t="s">
        <v>117</v>
      </c>
      <c r="B43" s="1" t="d">
        <v>2024-09-12</v>
      </c>
      <c r="C43" s="1" t="str">
        <f t="shared" si="0"/>
        <v>September 2024</v>
      </c>
      <c r="D43" t="s">
        <v>118</v>
      </c>
      <c r="E43" t="s">
        <v>119</v>
      </c>
      <c r="F43" t="s">
        <v>1337</v>
      </c>
      <c r="G43" t="str">
        <f t="shared" si="1"/>
        <v>Non-Campaign</v>
      </c>
      <c r="H43">
        <v>5</v>
      </c>
      <c r="I43" s="4">
        <v>0.05</v>
      </c>
      <c r="J43">
        <v>595.03</v>
      </c>
      <c r="K43" s="6">
        <v>94.58</v>
      </c>
      <c r="L43" s="8">
        <f t="shared" si="2"/>
        <v>0.15894996890913063</v>
      </c>
    </row>
    <row r="44" spans="1:12" x14ac:dyDescent="0.2">
      <c r="A44" t="s">
        <v>120</v>
      </c>
      <c r="B44" s="1" t="d">
        <v>2024-09-18</v>
      </c>
      <c r="C44" s="1" t="str">
        <f t="shared" si="0"/>
        <v>September 2024</v>
      </c>
      <c r="D44" t="s">
        <v>121</v>
      </c>
      <c r="E44" t="s">
        <v>15</v>
      </c>
      <c r="F44" t="s">
        <v>16</v>
      </c>
      <c r="G44" t="str">
        <f t="shared" si="1"/>
        <v>Campaign</v>
      </c>
      <c r="H44">
        <v>2</v>
      </c>
      <c r="I44" s="4">
        <v>0.15</v>
      </c>
      <c r="J44">
        <v>691.54</v>
      </c>
      <c r="K44" s="6">
        <v>138.91999999999999</v>
      </c>
      <c r="L44" s="8">
        <f t="shared" si="2"/>
        <v>0.20088498134598143</v>
      </c>
    </row>
    <row r="45" spans="1:12" x14ac:dyDescent="0.2">
      <c r="A45" t="s">
        <v>122</v>
      </c>
      <c r="B45" s="1" t="d">
        <v>2024-11-02</v>
      </c>
      <c r="C45" s="1" t="str">
        <f t="shared" si="0"/>
        <v>November 2024</v>
      </c>
      <c r="D45" t="s">
        <v>123</v>
      </c>
      <c r="E45" t="s">
        <v>44</v>
      </c>
      <c r="F45" t="s">
        <v>1337</v>
      </c>
      <c r="G45" t="str">
        <f t="shared" si="1"/>
        <v>Non-Campaign</v>
      </c>
      <c r="H45">
        <v>4</v>
      </c>
      <c r="I45" s="4">
        <v>0.2</v>
      </c>
      <c r="J45">
        <v>514.34</v>
      </c>
      <c r="K45" s="6">
        <v>95.5</v>
      </c>
      <c r="L45" s="8">
        <f t="shared" si="2"/>
        <v>0.18567484543298207</v>
      </c>
    </row>
    <row r="46" spans="1:12" x14ac:dyDescent="0.2">
      <c r="A46" t="s">
        <v>124</v>
      </c>
      <c r="B46" s="1" t="d">
        <v>2025-02-05</v>
      </c>
      <c r="C46" s="1" t="str">
        <f t="shared" si="0"/>
        <v>February 2025</v>
      </c>
      <c r="D46" t="s">
        <v>125</v>
      </c>
      <c r="E46" t="s">
        <v>75</v>
      </c>
      <c r="F46" t="s">
        <v>20</v>
      </c>
      <c r="G46" t="str">
        <f t="shared" si="1"/>
        <v>Campaign</v>
      </c>
      <c r="H46">
        <v>1</v>
      </c>
      <c r="I46" s="4">
        <v>0.1</v>
      </c>
      <c r="J46">
        <v>158.09</v>
      </c>
      <c r="K46" s="6">
        <v>33.840000000000003</v>
      </c>
      <c r="L46" s="8">
        <f t="shared" si="2"/>
        <v>0.21405528496426088</v>
      </c>
    </row>
    <row r="47" spans="1:12" x14ac:dyDescent="0.2">
      <c r="A47" t="s">
        <v>126</v>
      </c>
      <c r="B47" s="1" t="d">
        <v>2024-12-07</v>
      </c>
      <c r="C47" s="1" t="str">
        <f t="shared" si="0"/>
        <v>December 2024</v>
      </c>
      <c r="D47" t="s">
        <v>127</v>
      </c>
      <c r="E47" t="s">
        <v>53</v>
      </c>
      <c r="F47" t="s">
        <v>1337</v>
      </c>
      <c r="G47" t="str">
        <f t="shared" si="1"/>
        <v>Non-Campaign</v>
      </c>
      <c r="H47">
        <v>5</v>
      </c>
      <c r="I47" s="4">
        <v>0.15</v>
      </c>
      <c r="J47">
        <v>1422.09</v>
      </c>
      <c r="K47" s="6">
        <v>488.09</v>
      </c>
      <c r="L47" s="8">
        <f t="shared" si="2"/>
        <v>0.34322019000203924</v>
      </c>
    </row>
    <row r="48" spans="1:12" x14ac:dyDescent="0.2">
      <c r="A48" t="s">
        <v>128</v>
      </c>
      <c r="B48" s="1" t="d">
        <v>2025-06-26</v>
      </c>
      <c r="C48" s="1" t="str">
        <f t="shared" si="0"/>
        <v>June 2025</v>
      </c>
      <c r="D48" t="s">
        <v>129</v>
      </c>
      <c r="E48" t="s">
        <v>130</v>
      </c>
      <c r="F48" t="s">
        <v>20</v>
      </c>
      <c r="G48" t="str">
        <f t="shared" si="1"/>
        <v>Campaign</v>
      </c>
      <c r="H48">
        <v>2</v>
      </c>
      <c r="I48" s="4">
        <v>0.1</v>
      </c>
      <c r="J48">
        <v>689</v>
      </c>
      <c r="K48" s="6">
        <v>119.08</v>
      </c>
      <c r="L48" s="8">
        <f t="shared" si="2"/>
        <v>0.17283018867924527</v>
      </c>
    </row>
    <row r="49" spans="1:12" x14ac:dyDescent="0.2">
      <c r="A49" t="s">
        <v>131</v>
      </c>
      <c r="B49" s="1" t="d">
        <v>2025-05-22</v>
      </c>
      <c r="C49" s="1" t="str">
        <f t="shared" si="0"/>
        <v>May 2025</v>
      </c>
      <c r="D49" t="s">
        <v>132</v>
      </c>
      <c r="E49" t="s">
        <v>11</v>
      </c>
      <c r="F49" t="s">
        <v>1337</v>
      </c>
      <c r="G49" t="str">
        <f t="shared" si="1"/>
        <v>Non-Campaign</v>
      </c>
      <c r="H49">
        <v>5</v>
      </c>
      <c r="I49" s="4">
        <v>0.1</v>
      </c>
      <c r="J49">
        <v>911.07</v>
      </c>
      <c r="K49" s="6">
        <v>322.57</v>
      </c>
      <c r="L49" s="8">
        <f t="shared" si="2"/>
        <v>0.35405621960990918</v>
      </c>
    </row>
    <row r="50" spans="1:12" x14ac:dyDescent="0.2">
      <c r="A50" t="s">
        <v>133</v>
      </c>
      <c r="B50" s="1" t="d">
        <v>2024-08-22</v>
      </c>
      <c r="C50" s="1" t="str">
        <f t="shared" si="0"/>
        <v>August 2024</v>
      </c>
      <c r="D50" t="s">
        <v>134</v>
      </c>
      <c r="E50" t="s">
        <v>135</v>
      </c>
      <c r="F50" t="s">
        <v>16</v>
      </c>
      <c r="G50" t="str">
        <f t="shared" si="1"/>
        <v>Campaign</v>
      </c>
      <c r="H50">
        <v>2</v>
      </c>
      <c r="I50" s="4">
        <v>0.15</v>
      </c>
      <c r="J50">
        <v>345.41</v>
      </c>
      <c r="K50" s="6">
        <v>20.95</v>
      </c>
      <c r="L50" s="8">
        <f t="shared" si="2"/>
        <v>6.0652557829825419E-2</v>
      </c>
    </row>
    <row r="51" spans="1:12" x14ac:dyDescent="0.2">
      <c r="A51" t="s">
        <v>136</v>
      </c>
      <c r="B51" s="1" t="d">
        <v>2025-01-25</v>
      </c>
      <c r="C51" s="1" t="str">
        <f t="shared" si="0"/>
        <v>January 2025</v>
      </c>
      <c r="D51" t="s">
        <v>137</v>
      </c>
      <c r="E51" t="s">
        <v>138</v>
      </c>
      <c r="F51" t="s">
        <v>12</v>
      </c>
      <c r="G51" t="str">
        <f t="shared" si="1"/>
        <v>Campaign</v>
      </c>
      <c r="H51">
        <v>1</v>
      </c>
      <c r="I51" s="4">
        <v>0.2</v>
      </c>
      <c r="J51">
        <v>346.54</v>
      </c>
      <c r="K51" s="6">
        <v>171.28</v>
      </c>
      <c r="L51" s="8">
        <f t="shared" si="2"/>
        <v>0.49425751716973509</v>
      </c>
    </row>
    <row r="52" spans="1:12" x14ac:dyDescent="0.2">
      <c r="A52" t="s">
        <v>139</v>
      </c>
      <c r="B52" s="1" t="d">
        <v>2024-11-03</v>
      </c>
      <c r="C52" s="1" t="str">
        <f t="shared" si="0"/>
        <v>November 2024</v>
      </c>
      <c r="D52" t="s">
        <v>95</v>
      </c>
      <c r="E52" t="s">
        <v>80</v>
      </c>
      <c r="F52" t="s">
        <v>16</v>
      </c>
      <c r="G52" t="str">
        <f t="shared" si="1"/>
        <v>Campaign</v>
      </c>
      <c r="H52">
        <v>2</v>
      </c>
      <c r="I52" s="4">
        <v>0.1</v>
      </c>
      <c r="J52">
        <v>264.55</v>
      </c>
      <c r="K52" s="6">
        <v>141.87</v>
      </c>
      <c r="L52" s="8">
        <f t="shared" si="2"/>
        <v>0.5362691362691363</v>
      </c>
    </row>
    <row r="53" spans="1:12" x14ac:dyDescent="0.2">
      <c r="A53" t="s">
        <v>140</v>
      </c>
      <c r="B53" s="1" t="d">
        <v>2024-08-11</v>
      </c>
      <c r="C53" s="1" t="str">
        <f t="shared" si="0"/>
        <v>August 2024</v>
      </c>
      <c r="D53" t="s">
        <v>141</v>
      </c>
      <c r="E53" t="s">
        <v>44</v>
      </c>
      <c r="F53" t="s">
        <v>109</v>
      </c>
      <c r="G53" t="str">
        <f t="shared" si="1"/>
        <v>Campaign</v>
      </c>
      <c r="H53">
        <v>1</v>
      </c>
      <c r="I53" s="4">
        <v>0.1</v>
      </c>
      <c r="J53">
        <v>144.66</v>
      </c>
      <c r="K53" s="6">
        <v>39.950000000000003</v>
      </c>
      <c r="L53" s="8">
        <f t="shared" si="2"/>
        <v>0.27616480022120837</v>
      </c>
    </row>
    <row r="54" spans="1:12" x14ac:dyDescent="0.2">
      <c r="A54" t="s">
        <v>142</v>
      </c>
      <c r="B54" s="1" t="d">
        <v>2024-07-30</v>
      </c>
      <c r="C54" s="1" t="str">
        <f t="shared" si="0"/>
        <v>July 2024</v>
      </c>
      <c r="D54" t="s">
        <v>143</v>
      </c>
      <c r="E54" t="s">
        <v>41</v>
      </c>
      <c r="F54" t="s">
        <v>109</v>
      </c>
      <c r="G54" t="str">
        <f t="shared" si="1"/>
        <v>Campaign</v>
      </c>
      <c r="H54">
        <v>2</v>
      </c>
      <c r="I54" s="4">
        <v>0.3</v>
      </c>
      <c r="J54">
        <v>580.26</v>
      </c>
      <c r="K54" s="6">
        <v>-18.239999999999998</v>
      </c>
      <c r="L54" s="8">
        <f t="shared" si="2"/>
        <v>-3.1434184675834968E-2</v>
      </c>
    </row>
    <row r="55" spans="1:12" x14ac:dyDescent="0.2">
      <c r="A55" t="s">
        <v>144</v>
      </c>
      <c r="B55" s="1" t="d">
        <v>2025-06-01</v>
      </c>
      <c r="C55" s="1" t="str">
        <f t="shared" si="0"/>
        <v>June 2025</v>
      </c>
      <c r="D55" t="s">
        <v>145</v>
      </c>
      <c r="E55" t="s">
        <v>75</v>
      </c>
      <c r="F55" t="s">
        <v>20</v>
      </c>
      <c r="G55" t="str">
        <f t="shared" si="1"/>
        <v>Campaign</v>
      </c>
      <c r="H55">
        <v>5</v>
      </c>
      <c r="I55" s="4">
        <v>0.3</v>
      </c>
      <c r="J55">
        <v>614.80999999999995</v>
      </c>
      <c r="K55" s="6">
        <v>-6.44</v>
      </c>
      <c r="L55" s="8">
        <f t="shared" si="2"/>
        <v>-1.0474780826596836E-2</v>
      </c>
    </row>
    <row r="56" spans="1:12" x14ac:dyDescent="0.2">
      <c r="A56" t="s">
        <v>146</v>
      </c>
      <c r="B56" s="1" t="d">
        <v>2024-10-10</v>
      </c>
      <c r="C56" s="1" t="str">
        <f t="shared" si="0"/>
        <v>October 2024</v>
      </c>
      <c r="D56" t="s">
        <v>147</v>
      </c>
      <c r="E56" t="s">
        <v>148</v>
      </c>
      <c r="F56" t="s">
        <v>16</v>
      </c>
      <c r="G56" t="str">
        <f t="shared" si="1"/>
        <v>Campaign</v>
      </c>
      <c r="H56">
        <v>2</v>
      </c>
      <c r="I56" s="4">
        <v>0.3</v>
      </c>
      <c r="J56">
        <v>692.96</v>
      </c>
      <c r="K56" s="6">
        <v>43.56</v>
      </c>
      <c r="L56" s="8">
        <f t="shared" si="2"/>
        <v>6.2860771184483952E-2</v>
      </c>
    </row>
    <row r="57" spans="1:12" x14ac:dyDescent="0.2">
      <c r="A57" t="s">
        <v>149</v>
      </c>
      <c r="B57" s="1" t="d">
        <v>2025-05-30</v>
      </c>
      <c r="C57" s="1" t="str">
        <f t="shared" si="0"/>
        <v>May 2025</v>
      </c>
      <c r="D57" t="s">
        <v>150</v>
      </c>
      <c r="E57" t="s">
        <v>130</v>
      </c>
      <c r="F57" t="s">
        <v>12</v>
      </c>
      <c r="G57" t="str">
        <f t="shared" si="1"/>
        <v>Campaign</v>
      </c>
      <c r="H57">
        <v>1</v>
      </c>
      <c r="I57" s="4">
        <v>0</v>
      </c>
      <c r="J57">
        <v>382.78</v>
      </c>
      <c r="K57" s="6">
        <v>97.82</v>
      </c>
      <c r="L57" s="8">
        <f t="shared" si="2"/>
        <v>0.25555149171848057</v>
      </c>
    </row>
    <row r="58" spans="1:12" x14ac:dyDescent="0.2">
      <c r="A58" t="s">
        <v>151</v>
      </c>
      <c r="B58" s="1" t="d">
        <v>2025-04-20</v>
      </c>
      <c r="C58" s="1" t="str">
        <f t="shared" si="0"/>
        <v>April 2025</v>
      </c>
      <c r="D58" t="s">
        <v>152</v>
      </c>
      <c r="E58" t="s">
        <v>41</v>
      </c>
      <c r="F58" t="s">
        <v>109</v>
      </c>
      <c r="G58" t="str">
        <f t="shared" si="1"/>
        <v>Campaign</v>
      </c>
      <c r="H58">
        <v>2</v>
      </c>
      <c r="I58" s="4">
        <v>0.2</v>
      </c>
      <c r="J58">
        <v>663.15</v>
      </c>
      <c r="K58" s="6">
        <v>64.650000000000006</v>
      </c>
      <c r="L58" s="8">
        <f t="shared" si="2"/>
        <v>9.7489255824474111E-2</v>
      </c>
    </row>
    <row r="59" spans="1:12" x14ac:dyDescent="0.2">
      <c r="A59" t="s">
        <v>153</v>
      </c>
      <c r="B59" s="1" t="d">
        <v>2025-06-05</v>
      </c>
      <c r="C59" s="1" t="str">
        <f t="shared" si="0"/>
        <v>June 2025</v>
      </c>
      <c r="D59" t="s">
        <v>34</v>
      </c>
      <c r="E59" t="s">
        <v>75</v>
      </c>
      <c r="F59" t="s">
        <v>12</v>
      </c>
      <c r="G59" t="str">
        <f t="shared" si="1"/>
        <v>Campaign</v>
      </c>
      <c r="H59">
        <v>4</v>
      </c>
      <c r="I59" s="4">
        <v>0.3</v>
      </c>
      <c r="J59">
        <v>491.85</v>
      </c>
      <c r="K59" s="6">
        <v>-5.15</v>
      </c>
      <c r="L59" s="8">
        <f t="shared" si="2"/>
        <v>-1.0470671952831148E-2</v>
      </c>
    </row>
    <row r="60" spans="1:12" x14ac:dyDescent="0.2">
      <c r="A60" t="s">
        <v>154</v>
      </c>
      <c r="B60" s="1" t="d">
        <v>2024-09-24</v>
      </c>
      <c r="C60" s="1" t="str">
        <f t="shared" si="0"/>
        <v>September 2024</v>
      </c>
      <c r="D60" t="s">
        <v>155</v>
      </c>
      <c r="E60" t="s">
        <v>80</v>
      </c>
      <c r="F60" t="s">
        <v>109</v>
      </c>
      <c r="G60" t="str">
        <f t="shared" si="1"/>
        <v>Campaign</v>
      </c>
      <c r="H60">
        <v>4</v>
      </c>
      <c r="I60" s="4">
        <v>0.05</v>
      </c>
      <c r="J60">
        <v>558.49</v>
      </c>
      <c r="K60" s="6">
        <v>313.13</v>
      </c>
      <c r="L60" s="8">
        <f t="shared" si="2"/>
        <v>0.56067252770864295</v>
      </c>
    </row>
    <row r="61" spans="1:12" x14ac:dyDescent="0.2">
      <c r="A61" t="s">
        <v>156</v>
      </c>
      <c r="B61" s="1" t="d">
        <v>2025-03-03</v>
      </c>
      <c r="C61" s="1" t="str">
        <f t="shared" si="0"/>
        <v>March 2025</v>
      </c>
      <c r="D61" t="s">
        <v>89</v>
      </c>
      <c r="E61" t="s">
        <v>80</v>
      </c>
      <c r="F61" t="s">
        <v>1337</v>
      </c>
      <c r="G61" t="str">
        <f t="shared" si="1"/>
        <v>Non-Campaign</v>
      </c>
      <c r="H61">
        <v>1</v>
      </c>
      <c r="I61" s="4">
        <v>0.3</v>
      </c>
      <c r="J61">
        <v>102.88</v>
      </c>
      <c r="K61" s="6">
        <v>41.54</v>
      </c>
      <c r="L61" s="8">
        <f t="shared" si="2"/>
        <v>0.40377138413685848</v>
      </c>
    </row>
    <row r="62" spans="1:12" x14ac:dyDescent="0.2">
      <c r="A62" t="s">
        <v>157</v>
      </c>
      <c r="B62" s="1" t="d">
        <v>2025-05-22</v>
      </c>
      <c r="C62" s="1" t="str">
        <f t="shared" si="0"/>
        <v>May 2025</v>
      </c>
      <c r="D62" t="s">
        <v>158</v>
      </c>
      <c r="E62" t="s">
        <v>35</v>
      </c>
      <c r="F62" t="s">
        <v>1337</v>
      </c>
      <c r="G62" t="str">
        <f t="shared" si="1"/>
        <v>Non-Campaign</v>
      </c>
      <c r="H62">
        <v>4</v>
      </c>
      <c r="I62" s="4">
        <v>0.15</v>
      </c>
      <c r="J62">
        <v>1029.69</v>
      </c>
      <c r="K62" s="6">
        <v>152.93</v>
      </c>
      <c r="L62" s="8">
        <f t="shared" si="2"/>
        <v>0.1485204284784741</v>
      </c>
    </row>
    <row r="63" spans="1:12" x14ac:dyDescent="0.2">
      <c r="A63" t="s">
        <v>159</v>
      </c>
      <c r="B63" s="1" t="d">
        <v>2024-11-25</v>
      </c>
      <c r="C63" s="1" t="str">
        <f t="shared" si="0"/>
        <v>November 2024</v>
      </c>
      <c r="D63" t="s">
        <v>52</v>
      </c>
      <c r="E63" t="s">
        <v>15</v>
      </c>
      <c r="F63" t="s">
        <v>1337</v>
      </c>
      <c r="G63" t="str">
        <f t="shared" si="1"/>
        <v>Non-Campaign</v>
      </c>
      <c r="H63">
        <v>5</v>
      </c>
      <c r="I63" s="4">
        <v>0.05</v>
      </c>
      <c r="J63">
        <v>1932.25</v>
      </c>
      <c r="K63" s="6">
        <v>550.70000000000005</v>
      </c>
      <c r="L63" s="8">
        <f t="shared" si="2"/>
        <v>0.28500452839953422</v>
      </c>
    </row>
    <row r="64" spans="1:12" x14ac:dyDescent="0.2">
      <c r="A64" t="s">
        <v>160</v>
      </c>
      <c r="B64" s="1" t="d">
        <v>2025-01-17</v>
      </c>
      <c r="C64" s="1" t="str">
        <f t="shared" si="0"/>
        <v>January 2025</v>
      </c>
      <c r="D64" t="s">
        <v>161</v>
      </c>
      <c r="E64" t="s">
        <v>65</v>
      </c>
      <c r="F64" t="s">
        <v>1337</v>
      </c>
      <c r="G64" t="str">
        <f t="shared" si="1"/>
        <v>Non-Campaign</v>
      </c>
      <c r="H64">
        <v>3</v>
      </c>
      <c r="I64" s="4">
        <v>0.15</v>
      </c>
      <c r="J64">
        <v>246.81</v>
      </c>
      <c r="K64" s="6">
        <v>51.63</v>
      </c>
      <c r="L64" s="8">
        <f t="shared" si="2"/>
        <v>0.20918925489242737</v>
      </c>
    </row>
    <row r="65" spans="1:12" x14ac:dyDescent="0.2">
      <c r="A65" t="s">
        <v>162</v>
      </c>
      <c r="B65" s="1" t="d">
        <v>2024-10-22</v>
      </c>
      <c r="C65" s="1" t="str">
        <f t="shared" si="0"/>
        <v>October 2024</v>
      </c>
      <c r="D65" t="s">
        <v>125</v>
      </c>
      <c r="E65" t="s">
        <v>47</v>
      </c>
      <c r="F65" t="s">
        <v>1337</v>
      </c>
      <c r="G65" t="str">
        <f t="shared" si="1"/>
        <v>Non-Campaign</v>
      </c>
      <c r="H65">
        <v>5</v>
      </c>
      <c r="I65" s="4">
        <v>0.2</v>
      </c>
      <c r="J65">
        <v>1202.4000000000001</v>
      </c>
      <c r="K65" s="6">
        <v>61.45</v>
      </c>
      <c r="L65" s="8">
        <f t="shared" si="2"/>
        <v>5.1106121091151029E-2</v>
      </c>
    </row>
    <row r="66" spans="1:12" x14ac:dyDescent="0.2">
      <c r="A66" t="s">
        <v>163</v>
      </c>
      <c r="B66" s="1" t="d">
        <v>2025-01-04</v>
      </c>
      <c r="C66" s="1" t="str">
        <f t="shared" ref="C66:C129" si="3">TEXT(B66, "mmmm yyyy")</f>
        <v>January 2025</v>
      </c>
      <c r="D66" t="s">
        <v>164</v>
      </c>
      <c r="E66" t="s">
        <v>165</v>
      </c>
      <c r="F66" t="s">
        <v>30</v>
      </c>
      <c r="G66" t="str">
        <f t="shared" ref="G66:G129" si="4">IF(F66="No Campaign", "Non-Campaign", "Campaign")</f>
        <v>Campaign</v>
      </c>
      <c r="H66">
        <v>4</v>
      </c>
      <c r="I66" s="4">
        <v>0</v>
      </c>
      <c r="J66">
        <v>319.68</v>
      </c>
      <c r="K66" s="6">
        <v>73.88</v>
      </c>
      <c r="L66" s="8">
        <f t="shared" ref="L66:L129" si="5">IF(J66=0, 0,K66/J66)</f>
        <v>0.23110610610610607</v>
      </c>
    </row>
    <row r="67" spans="1:12" x14ac:dyDescent="0.2">
      <c r="A67" t="s">
        <v>166</v>
      </c>
      <c r="B67" s="1" t="d">
        <v>2024-07-29</v>
      </c>
      <c r="C67" s="1" t="str">
        <f t="shared" si="3"/>
        <v>July 2024</v>
      </c>
      <c r="D67" t="s">
        <v>167</v>
      </c>
      <c r="E67" t="s">
        <v>11</v>
      </c>
      <c r="F67" t="s">
        <v>30</v>
      </c>
      <c r="G67" t="str">
        <f t="shared" si="4"/>
        <v>Campaign</v>
      </c>
      <c r="H67">
        <v>2</v>
      </c>
      <c r="I67" s="4">
        <v>0</v>
      </c>
      <c r="J67">
        <v>404.92</v>
      </c>
      <c r="K67" s="6">
        <v>169.52</v>
      </c>
      <c r="L67" s="8">
        <f t="shared" si="5"/>
        <v>0.41865059764891832</v>
      </c>
    </row>
    <row r="68" spans="1:12" x14ac:dyDescent="0.2">
      <c r="A68" t="s">
        <v>168</v>
      </c>
      <c r="B68" s="1" t="d">
        <v>2024-07-01</v>
      </c>
      <c r="C68" s="1" t="str">
        <f t="shared" si="3"/>
        <v>July 2024</v>
      </c>
      <c r="D68" t="s">
        <v>169</v>
      </c>
      <c r="E68" t="s">
        <v>80</v>
      </c>
      <c r="F68" t="s">
        <v>1337</v>
      </c>
      <c r="G68" t="str">
        <f t="shared" si="4"/>
        <v>Non-Campaign</v>
      </c>
      <c r="H68">
        <v>5</v>
      </c>
      <c r="I68" s="4">
        <v>0.15</v>
      </c>
      <c r="J68">
        <v>624.62</v>
      </c>
      <c r="K68" s="6">
        <v>317.92</v>
      </c>
      <c r="L68" s="8">
        <f t="shared" si="5"/>
        <v>0.50898146072812267</v>
      </c>
    </row>
    <row r="69" spans="1:12" x14ac:dyDescent="0.2">
      <c r="A69" t="s">
        <v>170</v>
      </c>
      <c r="B69" s="1" t="d">
        <v>2024-07-23</v>
      </c>
      <c r="C69" s="1" t="str">
        <f t="shared" si="3"/>
        <v>July 2024</v>
      </c>
      <c r="D69" t="s">
        <v>171</v>
      </c>
      <c r="E69" t="s">
        <v>65</v>
      </c>
      <c r="F69" t="s">
        <v>16</v>
      </c>
      <c r="G69" t="str">
        <f t="shared" si="4"/>
        <v>Campaign</v>
      </c>
      <c r="H69">
        <v>3</v>
      </c>
      <c r="I69" s="4">
        <v>0.2</v>
      </c>
      <c r="J69">
        <v>232.3</v>
      </c>
      <c r="K69" s="6">
        <v>37.119999999999997</v>
      </c>
      <c r="L69" s="8">
        <f t="shared" si="5"/>
        <v>0.15979337064141194</v>
      </c>
    </row>
    <row r="70" spans="1:12" x14ac:dyDescent="0.2">
      <c r="A70" t="s">
        <v>172</v>
      </c>
      <c r="B70" s="1" t="d">
        <v>2024-07-14</v>
      </c>
      <c r="C70" s="1" t="str">
        <f t="shared" si="3"/>
        <v>July 2024</v>
      </c>
      <c r="D70" t="s">
        <v>161</v>
      </c>
      <c r="E70" t="s">
        <v>15</v>
      </c>
      <c r="F70" t="s">
        <v>16</v>
      </c>
      <c r="G70" t="str">
        <f t="shared" si="4"/>
        <v>Campaign</v>
      </c>
      <c r="H70">
        <v>4</v>
      </c>
      <c r="I70" s="4">
        <v>0.2</v>
      </c>
      <c r="J70">
        <v>1301.73</v>
      </c>
      <c r="K70" s="6">
        <v>196.49</v>
      </c>
      <c r="L70" s="8">
        <f t="shared" si="5"/>
        <v>0.15094528051131956</v>
      </c>
    </row>
    <row r="71" spans="1:12" x14ac:dyDescent="0.2">
      <c r="A71" t="s">
        <v>173</v>
      </c>
      <c r="B71" s="1" t="d">
        <v>2024-07-15</v>
      </c>
      <c r="C71" s="1" t="str">
        <f t="shared" si="3"/>
        <v>July 2024</v>
      </c>
      <c r="D71" t="s">
        <v>174</v>
      </c>
      <c r="E71" t="s">
        <v>106</v>
      </c>
      <c r="F71" t="s">
        <v>109</v>
      </c>
      <c r="G71" t="str">
        <f t="shared" si="4"/>
        <v>Campaign</v>
      </c>
      <c r="H71">
        <v>4</v>
      </c>
      <c r="I71" s="4">
        <v>0</v>
      </c>
      <c r="J71">
        <v>790.76</v>
      </c>
      <c r="K71" s="6">
        <v>408.2</v>
      </c>
      <c r="L71" s="8">
        <f t="shared" si="5"/>
        <v>0.51621225150488137</v>
      </c>
    </row>
    <row r="72" spans="1:12" x14ac:dyDescent="0.2">
      <c r="A72" t="s">
        <v>175</v>
      </c>
      <c r="B72" s="1" t="d">
        <v>2024-10-30</v>
      </c>
      <c r="C72" s="1" t="str">
        <f t="shared" si="3"/>
        <v>October 2024</v>
      </c>
      <c r="D72" t="s">
        <v>176</v>
      </c>
      <c r="E72" t="s">
        <v>177</v>
      </c>
      <c r="F72" t="s">
        <v>1337</v>
      </c>
      <c r="G72" t="str">
        <f t="shared" si="4"/>
        <v>Non-Campaign</v>
      </c>
      <c r="H72">
        <v>2</v>
      </c>
      <c r="I72" s="4">
        <v>0.05</v>
      </c>
      <c r="J72">
        <v>213.37</v>
      </c>
      <c r="K72" s="6">
        <v>117.29</v>
      </c>
      <c r="L72" s="8">
        <f t="shared" si="5"/>
        <v>0.54970239490087647</v>
      </c>
    </row>
    <row r="73" spans="1:12" x14ac:dyDescent="0.2">
      <c r="A73" t="s">
        <v>178</v>
      </c>
      <c r="B73" s="1" t="d">
        <v>2025-04-07</v>
      </c>
      <c r="C73" s="1" t="str">
        <f t="shared" si="3"/>
        <v>April 2025</v>
      </c>
      <c r="D73" t="s">
        <v>179</v>
      </c>
      <c r="E73" t="s">
        <v>44</v>
      </c>
      <c r="F73" t="s">
        <v>12</v>
      </c>
      <c r="G73" t="str">
        <f t="shared" si="4"/>
        <v>Campaign</v>
      </c>
      <c r="H73">
        <v>1</v>
      </c>
      <c r="I73" s="4">
        <v>0.1</v>
      </c>
      <c r="J73">
        <v>144.66</v>
      </c>
      <c r="K73" s="6">
        <v>39.950000000000003</v>
      </c>
      <c r="L73" s="8">
        <f t="shared" si="5"/>
        <v>0.27616480022120837</v>
      </c>
    </row>
    <row r="74" spans="1:12" x14ac:dyDescent="0.2">
      <c r="A74" t="s">
        <v>180</v>
      </c>
      <c r="B74" s="1" t="d">
        <v>2025-01-07</v>
      </c>
      <c r="C74" s="1" t="str">
        <f t="shared" si="3"/>
        <v>January 2025</v>
      </c>
      <c r="D74" t="s">
        <v>181</v>
      </c>
      <c r="E74" t="s">
        <v>75</v>
      </c>
      <c r="F74" t="s">
        <v>1337</v>
      </c>
      <c r="G74" t="str">
        <f t="shared" si="4"/>
        <v>Non-Campaign</v>
      </c>
      <c r="H74">
        <v>3</v>
      </c>
      <c r="I74" s="4">
        <v>0.2</v>
      </c>
      <c r="J74">
        <v>421.58</v>
      </c>
      <c r="K74" s="6">
        <v>48.83</v>
      </c>
      <c r="L74" s="8">
        <f t="shared" si="5"/>
        <v>0.1158261777124152</v>
      </c>
    </row>
    <row r="75" spans="1:12" x14ac:dyDescent="0.2">
      <c r="A75" t="s">
        <v>182</v>
      </c>
      <c r="B75" s="1" t="d">
        <v>2025-03-05</v>
      </c>
      <c r="C75" s="1" t="str">
        <f t="shared" si="3"/>
        <v>March 2025</v>
      </c>
      <c r="D75" t="s">
        <v>183</v>
      </c>
      <c r="E75" t="s">
        <v>65</v>
      </c>
      <c r="F75" t="s">
        <v>20</v>
      </c>
      <c r="G75" t="str">
        <f t="shared" si="4"/>
        <v>Campaign</v>
      </c>
      <c r="H75">
        <v>4</v>
      </c>
      <c r="I75" s="4">
        <v>0.05</v>
      </c>
      <c r="J75">
        <v>367.8</v>
      </c>
      <c r="K75" s="6">
        <v>107.56</v>
      </c>
      <c r="L75" s="8">
        <f t="shared" si="5"/>
        <v>0.29244154431756392</v>
      </c>
    </row>
    <row r="76" spans="1:12" x14ac:dyDescent="0.2">
      <c r="A76" t="s">
        <v>184</v>
      </c>
      <c r="B76" s="1" t="d">
        <v>2024-07-13</v>
      </c>
      <c r="C76" s="1" t="str">
        <f t="shared" si="3"/>
        <v>July 2024</v>
      </c>
      <c r="D76" t="s">
        <v>185</v>
      </c>
      <c r="E76" t="s">
        <v>85</v>
      </c>
      <c r="F76" t="s">
        <v>1337</v>
      </c>
      <c r="G76" t="str">
        <f t="shared" si="4"/>
        <v>Non-Campaign</v>
      </c>
      <c r="H76">
        <v>4</v>
      </c>
      <c r="I76" s="4">
        <v>0.1</v>
      </c>
      <c r="J76">
        <v>529.70000000000005</v>
      </c>
      <c r="K76" s="6">
        <v>236.22</v>
      </c>
      <c r="L76" s="8">
        <f t="shared" si="5"/>
        <v>0.44595053804040019</v>
      </c>
    </row>
    <row r="77" spans="1:12" x14ac:dyDescent="0.2">
      <c r="A77" t="s">
        <v>186</v>
      </c>
      <c r="B77" s="1" t="d">
        <v>2025-02-13</v>
      </c>
      <c r="C77" s="1" t="str">
        <f t="shared" si="3"/>
        <v>February 2025</v>
      </c>
      <c r="D77" t="s">
        <v>152</v>
      </c>
      <c r="E77" t="s">
        <v>177</v>
      </c>
      <c r="F77" t="s">
        <v>12</v>
      </c>
      <c r="G77" t="str">
        <f t="shared" si="4"/>
        <v>Campaign</v>
      </c>
      <c r="H77">
        <v>5</v>
      </c>
      <c r="I77" s="4">
        <v>0.2</v>
      </c>
      <c r="J77">
        <v>449.2</v>
      </c>
      <c r="K77" s="6">
        <v>209</v>
      </c>
      <c r="L77" s="8">
        <f t="shared" si="5"/>
        <v>0.46527159394479073</v>
      </c>
    </row>
    <row r="78" spans="1:12" x14ac:dyDescent="0.2">
      <c r="A78" t="s">
        <v>187</v>
      </c>
      <c r="B78" s="1" t="d">
        <v>2024-12-07</v>
      </c>
      <c r="C78" s="1" t="str">
        <f t="shared" si="3"/>
        <v>December 2024</v>
      </c>
      <c r="D78" t="s">
        <v>188</v>
      </c>
      <c r="E78" t="s">
        <v>44</v>
      </c>
      <c r="F78" t="s">
        <v>109</v>
      </c>
      <c r="G78" t="str">
        <f t="shared" si="4"/>
        <v>Campaign</v>
      </c>
      <c r="H78">
        <v>1</v>
      </c>
      <c r="I78" s="4">
        <v>0.15</v>
      </c>
      <c r="J78">
        <v>136.62</v>
      </c>
      <c r="K78" s="6">
        <v>31.91</v>
      </c>
      <c r="L78" s="8">
        <f t="shared" si="5"/>
        <v>0.23356755965451617</v>
      </c>
    </row>
    <row r="79" spans="1:12" x14ac:dyDescent="0.2">
      <c r="A79" t="s">
        <v>189</v>
      </c>
      <c r="B79" s="1" t="d">
        <v>2024-09-18</v>
      </c>
      <c r="C79" s="1" t="str">
        <f t="shared" si="3"/>
        <v>September 2024</v>
      </c>
      <c r="D79" t="s">
        <v>190</v>
      </c>
      <c r="E79" t="s">
        <v>11</v>
      </c>
      <c r="F79" t="s">
        <v>109</v>
      </c>
      <c r="G79" t="str">
        <f t="shared" si="4"/>
        <v>Campaign</v>
      </c>
      <c r="H79">
        <v>5</v>
      </c>
      <c r="I79" s="4">
        <v>0.3</v>
      </c>
      <c r="J79">
        <v>708.61</v>
      </c>
      <c r="K79" s="6">
        <v>120.11</v>
      </c>
      <c r="L79" s="8">
        <f t="shared" si="5"/>
        <v>0.16950085378416901</v>
      </c>
    </row>
    <row r="80" spans="1:12" x14ac:dyDescent="0.2">
      <c r="A80" t="s">
        <v>191</v>
      </c>
      <c r="B80" s="1" t="d">
        <v>2025-02-20</v>
      </c>
      <c r="C80" s="1" t="str">
        <f t="shared" si="3"/>
        <v>February 2025</v>
      </c>
      <c r="D80" t="s">
        <v>192</v>
      </c>
      <c r="E80" t="s">
        <v>193</v>
      </c>
      <c r="F80" t="s">
        <v>20</v>
      </c>
      <c r="G80" t="str">
        <f t="shared" si="4"/>
        <v>Campaign</v>
      </c>
      <c r="H80">
        <v>4</v>
      </c>
      <c r="I80" s="4">
        <v>0.1</v>
      </c>
      <c r="J80">
        <v>1194.98</v>
      </c>
      <c r="K80" s="6">
        <v>374.46</v>
      </c>
      <c r="L80" s="8">
        <f t="shared" si="5"/>
        <v>0.31336089306934006</v>
      </c>
    </row>
    <row r="81" spans="1:12" x14ac:dyDescent="0.2">
      <c r="A81" t="s">
        <v>194</v>
      </c>
      <c r="B81" s="1" t="d">
        <v>2025-04-07</v>
      </c>
      <c r="C81" s="1" t="str">
        <f t="shared" si="3"/>
        <v>April 2025</v>
      </c>
      <c r="D81" t="s">
        <v>69</v>
      </c>
      <c r="E81" t="s">
        <v>50</v>
      </c>
      <c r="F81" t="s">
        <v>1337</v>
      </c>
      <c r="G81" t="str">
        <f t="shared" si="4"/>
        <v>Non-Campaign</v>
      </c>
      <c r="H81">
        <v>2</v>
      </c>
      <c r="I81" s="4">
        <v>0.05</v>
      </c>
      <c r="J81">
        <v>702.96</v>
      </c>
      <c r="K81" s="6">
        <v>358.62</v>
      </c>
      <c r="L81" s="8">
        <f t="shared" si="5"/>
        <v>0.51015705018777735</v>
      </c>
    </row>
    <row r="82" spans="1:12" x14ac:dyDescent="0.2">
      <c r="A82" t="s">
        <v>195</v>
      </c>
      <c r="B82" s="1" t="d">
        <v>2024-09-25</v>
      </c>
      <c r="C82" s="1" t="str">
        <f t="shared" si="3"/>
        <v>September 2024</v>
      </c>
      <c r="D82" t="s">
        <v>196</v>
      </c>
      <c r="E82" t="s">
        <v>177</v>
      </c>
      <c r="F82" t="s">
        <v>12</v>
      </c>
      <c r="G82" t="str">
        <f t="shared" si="4"/>
        <v>Campaign</v>
      </c>
      <c r="H82">
        <v>1</v>
      </c>
      <c r="I82" s="4">
        <v>0</v>
      </c>
      <c r="J82">
        <v>112.3</v>
      </c>
      <c r="K82" s="6">
        <v>64.260000000000005</v>
      </c>
      <c r="L82" s="8">
        <f t="shared" si="5"/>
        <v>0.57221727515583265</v>
      </c>
    </row>
    <row r="83" spans="1:12" x14ac:dyDescent="0.2">
      <c r="A83" t="s">
        <v>197</v>
      </c>
      <c r="B83" s="1" t="d">
        <v>2024-10-29</v>
      </c>
      <c r="C83" s="1" t="str">
        <f t="shared" si="3"/>
        <v>October 2024</v>
      </c>
      <c r="D83" t="s">
        <v>198</v>
      </c>
      <c r="E83" t="s">
        <v>53</v>
      </c>
      <c r="F83" t="s">
        <v>1337</v>
      </c>
      <c r="G83" t="str">
        <f t="shared" si="4"/>
        <v>Non-Campaign</v>
      </c>
      <c r="H83">
        <v>4</v>
      </c>
      <c r="I83" s="4">
        <v>0.2</v>
      </c>
      <c r="J83">
        <v>1070.75</v>
      </c>
      <c r="K83" s="6">
        <v>323.55</v>
      </c>
      <c r="L83" s="8">
        <f t="shared" si="5"/>
        <v>0.30217137520429604</v>
      </c>
    </row>
    <row r="84" spans="1:12" x14ac:dyDescent="0.2">
      <c r="A84" t="s">
        <v>199</v>
      </c>
      <c r="B84" s="1" t="d">
        <v>2025-06-28</v>
      </c>
      <c r="C84" s="1" t="str">
        <f t="shared" si="3"/>
        <v>June 2025</v>
      </c>
      <c r="D84" t="s">
        <v>200</v>
      </c>
      <c r="E84" t="s">
        <v>193</v>
      </c>
      <c r="F84" t="s">
        <v>16</v>
      </c>
      <c r="G84" t="str">
        <f t="shared" si="4"/>
        <v>Campaign</v>
      </c>
      <c r="H84">
        <v>3</v>
      </c>
      <c r="I84" s="4">
        <v>0.2</v>
      </c>
      <c r="J84">
        <v>796.66</v>
      </c>
      <c r="K84" s="6">
        <v>181.27</v>
      </c>
      <c r="L84" s="8">
        <f t="shared" si="5"/>
        <v>0.22753746893279445</v>
      </c>
    </row>
    <row r="85" spans="1:12" x14ac:dyDescent="0.2">
      <c r="A85" t="s">
        <v>201</v>
      </c>
      <c r="B85" s="1" t="d">
        <v>2024-11-11</v>
      </c>
      <c r="C85" s="1" t="str">
        <f t="shared" si="3"/>
        <v>November 2024</v>
      </c>
      <c r="D85" t="s">
        <v>202</v>
      </c>
      <c r="E85" t="s">
        <v>35</v>
      </c>
      <c r="F85" t="s">
        <v>1337</v>
      </c>
      <c r="G85" t="str">
        <f t="shared" si="4"/>
        <v>Non-Campaign</v>
      </c>
      <c r="H85">
        <v>5</v>
      </c>
      <c r="I85" s="4">
        <v>0.3</v>
      </c>
      <c r="J85">
        <v>1059.97</v>
      </c>
      <c r="K85" s="6">
        <v>-35.979999999999997</v>
      </c>
      <c r="L85" s="8">
        <f t="shared" si="5"/>
        <v>-3.394435691576176E-2</v>
      </c>
    </row>
    <row r="86" spans="1:12" x14ac:dyDescent="0.2">
      <c r="A86" t="s">
        <v>203</v>
      </c>
      <c r="B86" s="1" t="d">
        <v>2024-11-04</v>
      </c>
      <c r="C86" s="1" t="str">
        <f t="shared" si="3"/>
        <v>November 2024</v>
      </c>
      <c r="D86" t="s">
        <v>204</v>
      </c>
      <c r="E86" t="s">
        <v>148</v>
      </c>
      <c r="F86" t="s">
        <v>1337</v>
      </c>
      <c r="G86" t="str">
        <f t="shared" si="4"/>
        <v>Non-Campaign</v>
      </c>
      <c r="H86">
        <v>5</v>
      </c>
      <c r="I86" s="4">
        <v>0.2</v>
      </c>
      <c r="J86">
        <v>1979.88</v>
      </c>
      <c r="K86" s="6">
        <v>356.38</v>
      </c>
      <c r="L86" s="8">
        <f t="shared" si="5"/>
        <v>0.18000080812978564</v>
      </c>
    </row>
    <row r="87" spans="1:12" x14ac:dyDescent="0.2">
      <c r="A87" t="s">
        <v>205</v>
      </c>
      <c r="B87" s="1" t="d">
        <v>2025-03-20</v>
      </c>
      <c r="C87" s="1" t="str">
        <f t="shared" si="3"/>
        <v>March 2025</v>
      </c>
      <c r="D87" t="s">
        <v>206</v>
      </c>
      <c r="E87" t="s">
        <v>106</v>
      </c>
      <c r="F87" t="s">
        <v>109</v>
      </c>
      <c r="G87" t="str">
        <f t="shared" si="4"/>
        <v>Campaign</v>
      </c>
      <c r="H87">
        <v>4</v>
      </c>
      <c r="I87" s="4">
        <v>0</v>
      </c>
      <c r="J87">
        <v>790.76</v>
      </c>
      <c r="K87" s="6">
        <v>408.2</v>
      </c>
      <c r="L87" s="8">
        <f t="shared" si="5"/>
        <v>0.51621225150488137</v>
      </c>
    </row>
    <row r="88" spans="1:12" x14ac:dyDescent="0.2">
      <c r="A88" t="s">
        <v>207</v>
      </c>
      <c r="B88" s="1" t="d">
        <v>2025-02-21</v>
      </c>
      <c r="C88" s="1" t="str">
        <f t="shared" si="3"/>
        <v>February 2025</v>
      </c>
      <c r="D88" t="s">
        <v>67</v>
      </c>
      <c r="E88" t="s">
        <v>165</v>
      </c>
      <c r="F88" t="s">
        <v>20</v>
      </c>
      <c r="G88" t="str">
        <f t="shared" si="4"/>
        <v>Campaign</v>
      </c>
      <c r="H88">
        <v>4</v>
      </c>
      <c r="I88" s="4">
        <v>0.2</v>
      </c>
      <c r="J88">
        <v>255.74</v>
      </c>
      <c r="K88" s="6">
        <v>9.94</v>
      </c>
      <c r="L88" s="8">
        <f t="shared" si="5"/>
        <v>3.8867599906154682E-2</v>
      </c>
    </row>
    <row r="89" spans="1:12" x14ac:dyDescent="0.2">
      <c r="A89" t="s">
        <v>208</v>
      </c>
      <c r="B89" s="1" t="d">
        <v>2025-06-15</v>
      </c>
      <c r="C89" s="1" t="str">
        <f t="shared" si="3"/>
        <v>June 2025</v>
      </c>
      <c r="D89" t="s">
        <v>209</v>
      </c>
      <c r="E89" t="s">
        <v>119</v>
      </c>
      <c r="F89" t="s">
        <v>12</v>
      </c>
      <c r="G89" t="str">
        <f t="shared" si="4"/>
        <v>Campaign</v>
      </c>
      <c r="H89">
        <v>5</v>
      </c>
      <c r="I89" s="4">
        <v>0.15</v>
      </c>
      <c r="J89">
        <v>532.4</v>
      </c>
      <c r="K89" s="6">
        <v>31.95</v>
      </c>
      <c r="L89" s="8">
        <f t="shared" si="5"/>
        <v>6.0011269722013524E-2</v>
      </c>
    </row>
    <row r="90" spans="1:12" x14ac:dyDescent="0.2">
      <c r="A90" t="s">
        <v>210</v>
      </c>
      <c r="B90" s="1" t="d">
        <v>2025-05-28</v>
      </c>
      <c r="C90" s="1" t="str">
        <f t="shared" si="3"/>
        <v>May 2025</v>
      </c>
      <c r="D90" t="s">
        <v>185</v>
      </c>
      <c r="E90" t="s">
        <v>41</v>
      </c>
      <c r="F90" t="s">
        <v>30</v>
      </c>
      <c r="G90" t="str">
        <f t="shared" si="4"/>
        <v>Campaign</v>
      </c>
      <c r="H90">
        <v>1</v>
      </c>
      <c r="I90" s="4">
        <v>0.2</v>
      </c>
      <c r="J90">
        <v>331.58</v>
      </c>
      <c r="K90" s="6">
        <v>32.33</v>
      </c>
      <c r="L90" s="8">
        <f t="shared" si="5"/>
        <v>9.7502865070269618E-2</v>
      </c>
    </row>
    <row r="91" spans="1:12" x14ac:dyDescent="0.2">
      <c r="A91" t="s">
        <v>211</v>
      </c>
      <c r="B91" s="1" t="d">
        <v>2024-08-10</v>
      </c>
      <c r="C91" s="1" t="str">
        <f t="shared" si="3"/>
        <v>August 2024</v>
      </c>
      <c r="D91" t="s">
        <v>212</v>
      </c>
      <c r="E91" t="s">
        <v>35</v>
      </c>
      <c r="F91" t="s">
        <v>1337</v>
      </c>
      <c r="G91" t="str">
        <f t="shared" si="4"/>
        <v>Non-Campaign</v>
      </c>
      <c r="H91">
        <v>2</v>
      </c>
      <c r="I91" s="4">
        <v>0.3</v>
      </c>
      <c r="J91">
        <v>423.99</v>
      </c>
      <c r="K91" s="6">
        <v>-14.39</v>
      </c>
      <c r="L91" s="8">
        <f t="shared" si="5"/>
        <v>-3.3939479704710014E-2</v>
      </c>
    </row>
    <row r="92" spans="1:12" x14ac:dyDescent="0.2">
      <c r="A92" t="s">
        <v>213</v>
      </c>
      <c r="B92" s="1" t="d">
        <v>2025-02-23</v>
      </c>
      <c r="C92" s="1" t="str">
        <f t="shared" si="3"/>
        <v>February 2025</v>
      </c>
      <c r="D92" t="s">
        <v>214</v>
      </c>
      <c r="E92" t="s">
        <v>58</v>
      </c>
      <c r="F92" t="s">
        <v>20</v>
      </c>
      <c r="G92" t="str">
        <f t="shared" si="4"/>
        <v>Campaign</v>
      </c>
      <c r="H92">
        <v>2</v>
      </c>
      <c r="I92" s="4">
        <v>0</v>
      </c>
      <c r="J92">
        <v>138.4</v>
      </c>
      <c r="K92" s="6">
        <v>42.04</v>
      </c>
      <c r="L92" s="8">
        <f t="shared" si="5"/>
        <v>0.30375722543352601</v>
      </c>
    </row>
    <row r="93" spans="1:12" x14ac:dyDescent="0.2">
      <c r="A93" t="s">
        <v>215</v>
      </c>
      <c r="B93" s="1" t="d">
        <v>2024-07-12</v>
      </c>
      <c r="C93" s="1" t="str">
        <f t="shared" si="3"/>
        <v>July 2024</v>
      </c>
      <c r="D93" t="s">
        <v>216</v>
      </c>
      <c r="E93" t="s">
        <v>165</v>
      </c>
      <c r="F93" t="s">
        <v>1337</v>
      </c>
      <c r="G93" t="str">
        <f t="shared" si="4"/>
        <v>Non-Campaign</v>
      </c>
      <c r="H93">
        <v>2</v>
      </c>
      <c r="I93" s="4">
        <v>0.15</v>
      </c>
      <c r="J93">
        <v>135.86000000000001</v>
      </c>
      <c r="K93" s="6">
        <v>12.96</v>
      </c>
      <c r="L93" s="8">
        <f t="shared" si="5"/>
        <v>9.5392315619019577E-2</v>
      </c>
    </row>
    <row r="94" spans="1:12" x14ac:dyDescent="0.2">
      <c r="A94" t="s">
        <v>217</v>
      </c>
      <c r="B94" s="1" t="d">
        <v>2025-01-06</v>
      </c>
      <c r="C94" s="1" t="str">
        <f t="shared" si="3"/>
        <v>January 2025</v>
      </c>
      <c r="D94" t="s">
        <v>218</v>
      </c>
      <c r="E94" t="s">
        <v>19</v>
      </c>
      <c r="F94" t="s">
        <v>1337</v>
      </c>
      <c r="G94" t="str">
        <f t="shared" si="4"/>
        <v>Non-Campaign</v>
      </c>
      <c r="H94">
        <v>1</v>
      </c>
      <c r="I94" s="4">
        <v>0.3</v>
      </c>
      <c r="J94">
        <v>111.24</v>
      </c>
      <c r="K94" s="6">
        <v>42.6</v>
      </c>
      <c r="L94" s="8">
        <f t="shared" si="5"/>
        <v>0.38295577130528591</v>
      </c>
    </row>
    <row r="95" spans="1:12" x14ac:dyDescent="0.2">
      <c r="A95" t="s">
        <v>219</v>
      </c>
      <c r="B95" s="1" t="d">
        <v>2025-03-22</v>
      </c>
      <c r="C95" s="1" t="str">
        <f t="shared" si="3"/>
        <v>March 2025</v>
      </c>
      <c r="D95" t="s">
        <v>198</v>
      </c>
      <c r="E95" t="s">
        <v>38</v>
      </c>
      <c r="F95" t="s">
        <v>30</v>
      </c>
      <c r="G95" t="str">
        <f t="shared" si="4"/>
        <v>Campaign</v>
      </c>
      <c r="H95">
        <v>5</v>
      </c>
      <c r="I95" s="4">
        <v>0.1</v>
      </c>
      <c r="J95">
        <v>2113.15</v>
      </c>
      <c r="K95" s="6">
        <v>565.35</v>
      </c>
      <c r="L95" s="8">
        <f t="shared" si="5"/>
        <v>0.26753898208835153</v>
      </c>
    </row>
    <row r="96" spans="1:12" x14ac:dyDescent="0.2">
      <c r="A96" t="s">
        <v>220</v>
      </c>
      <c r="B96" s="1" t="d">
        <v>2024-12-21</v>
      </c>
      <c r="C96" s="1" t="str">
        <f t="shared" si="3"/>
        <v>December 2024</v>
      </c>
      <c r="D96" t="s">
        <v>221</v>
      </c>
      <c r="E96" t="s">
        <v>38</v>
      </c>
      <c r="F96" t="s">
        <v>1337</v>
      </c>
      <c r="G96" t="str">
        <f t="shared" si="4"/>
        <v>Non-Campaign</v>
      </c>
      <c r="H96">
        <v>3</v>
      </c>
      <c r="I96" s="4">
        <v>0.05</v>
      </c>
      <c r="J96">
        <v>1338.33</v>
      </c>
      <c r="K96" s="6">
        <v>409.65</v>
      </c>
      <c r="L96" s="8">
        <f t="shared" si="5"/>
        <v>0.30609042612808501</v>
      </c>
    </row>
    <row r="97" spans="1:12" x14ac:dyDescent="0.2">
      <c r="A97" t="s">
        <v>222</v>
      </c>
      <c r="B97" s="1" t="d">
        <v>2024-08-29</v>
      </c>
      <c r="C97" s="1" t="str">
        <f t="shared" si="3"/>
        <v>August 2024</v>
      </c>
      <c r="D97" t="s">
        <v>223</v>
      </c>
      <c r="E97" t="s">
        <v>138</v>
      </c>
      <c r="F97" t="s">
        <v>1337</v>
      </c>
      <c r="G97" t="str">
        <f t="shared" si="4"/>
        <v>Non-Campaign</v>
      </c>
      <c r="H97">
        <v>5</v>
      </c>
      <c r="I97" s="4">
        <v>0.1</v>
      </c>
      <c r="J97">
        <v>1949.26</v>
      </c>
      <c r="K97" s="6">
        <v>1072.96</v>
      </c>
      <c r="L97" s="8">
        <f t="shared" si="5"/>
        <v>0.55044478417450726</v>
      </c>
    </row>
    <row r="98" spans="1:12" x14ac:dyDescent="0.2">
      <c r="A98" t="s">
        <v>224</v>
      </c>
      <c r="B98" s="1" t="d">
        <v>2025-06-07</v>
      </c>
      <c r="C98" s="1" t="str">
        <f t="shared" si="3"/>
        <v>June 2025</v>
      </c>
      <c r="D98" t="s">
        <v>185</v>
      </c>
      <c r="E98" t="s">
        <v>75</v>
      </c>
      <c r="F98" t="s">
        <v>1337</v>
      </c>
      <c r="G98" t="str">
        <f t="shared" si="4"/>
        <v>Non-Campaign</v>
      </c>
      <c r="H98">
        <v>2</v>
      </c>
      <c r="I98" s="4">
        <v>0.05</v>
      </c>
      <c r="J98">
        <v>333.75</v>
      </c>
      <c r="K98" s="6">
        <v>85.25</v>
      </c>
      <c r="L98" s="8">
        <f t="shared" si="5"/>
        <v>0.25543071161048692</v>
      </c>
    </row>
    <row r="99" spans="1:12" x14ac:dyDescent="0.2">
      <c r="A99" t="s">
        <v>225</v>
      </c>
      <c r="B99" s="1" t="d">
        <v>2024-08-23</v>
      </c>
      <c r="C99" s="1" t="str">
        <f t="shared" si="3"/>
        <v>August 2024</v>
      </c>
      <c r="D99" t="s">
        <v>102</v>
      </c>
      <c r="E99" t="s">
        <v>50</v>
      </c>
      <c r="F99" t="s">
        <v>109</v>
      </c>
      <c r="G99" t="str">
        <f t="shared" si="4"/>
        <v>Campaign</v>
      </c>
      <c r="H99">
        <v>2</v>
      </c>
      <c r="I99" s="4">
        <v>0.1</v>
      </c>
      <c r="J99">
        <v>665.96</v>
      </c>
      <c r="K99" s="6">
        <v>321.62</v>
      </c>
      <c r="L99" s="8">
        <f t="shared" si="5"/>
        <v>0.48294191843353951</v>
      </c>
    </row>
    <row r="100" spans="1:12" x14ac:dyDescent="0.2">
      <c r="A100" t="s">
        <v>226</v>
      </c>
      <c r="B100" s="1" t="d">
        <v>2024-10-24</v>
      </c>
      <c r="C100" s="1" t="str">
        <f t="shared" si="3"/>
        <v>October 2024</v>
      </c>
      <c r="D100" t="s">
        <v>227</v>
      </c>
      <c r="E100" t="s">
        <v>53</v>
      </c>
      <c r="F100" t="s">
        <v>30</v>
      </c>
      <c r="G100" t="str">
        <f t="shared" si="4"/>
        <v>Campaign</v>
      </c>
      <c r="H100">
        <v>4</v>
      </c>
      <c r="I100" s="4">
        <v>0.1</v>
      </c>
      <c r="J100">
        <v>1204.5999999999999</v>
      </c>
      <c r="K100" s="6">
        <v>457.4</v>
      </c>
      <c r="L100" s="8">
        <f t="shared" si="5"/>
        <v>0.37971110742155073</v>
      </c>
    </row>
    <row r="101" spans="1:12" x14ac:dyDescent="0.2">
      <c r="A101" t="s">
        <v>228</v>
      </c>
      <c r="B101" s="1" t="d">
        <v>2025-04-23</v>
      </c>
      <c r="C101" s="1" t="str">
        <f t="shared" si="3"/>
        <v>April 2025</v>
      </c>
      <c r="D101" t="s">
        <v>212</v>
      </c>
      <c r="E101" t="s">
        <v>44</v>
      </c>
      <c r="F101" t="s">
        <v>109</v>
      </c>
      <c r="G101" t="str">
        <f t="shared" si="4"/>
        <v>Campaign</v>
      </c>
      <c r="H101">
        <v>3</v>
      </c>
      <c r="I101" s="4">
        <v>0</v>
      </c>
      <c r="J101">
        <v>482.19</v>
      </c>
      <c r="K101" s="6">
        <v>168.06</v>
      </c>
      <c r="L101" s="8">
        <f t="shared" si="5"/>
        <v>0.34853480992969577</v>
      </c>
    </row>
    <row r="102" spans="1:12" x14ac:dyDescent="0.2">
      <c r="A102" t="s">
        <v>229</v>
      </c>
      <c r="B102" s="1" t="d">
        <v>2024-10-01</v>
      </c>
      <c r="C102" s="1" t="str">
        <f t="shared" si="3"/>
        <v>October 2024</v>
      </c>
      <c r="D102" t="s">
        <v>230</v>
      </c>
      <c r="E102" t="s">
        <v>96</v>
      </c>
      <c r="F102" t="s">
        <v>1337</v>
      </c>
      <c r="G102" t="str">
        <f t="shared" si="4"/>
        <v>Non-Campaign</v>
      </c>
      <c r="H102">
        <v>4</v>
      </c>
      <c r="I102" s="4">
        <v>0.1</v>
      </c>
      <c r="J102">
        <v>186.37</v>
      </c>
      <c r="K102" s="6">
        <v>27.89</v>
      </c>
      <c r="L102" s="8">
        <f t="shared" si="5"/>
        <v>0.14964854858614585</v>
      </c>
    </row>
    <row r="103" spans="1:12" x14ac:dyDescent="0.2">
      <c r="A103" t="s">
        <v>231</v>
      </c>
      <c r="B103" s="1" t="d">
        <v>2024-10-20</v>
      </c>
      <c r="C103" s="1" t="str">
        <f t="shared" si="3"/>
        <v>October 2024</v>
      </c>
      <c r="D103" t="s">
        <v>232</v>
      </c>
      <c r="E103" t="s">
        <v>80</v>
      </c>
      <c r="F103" t="s">
        <v>12</v>
      </c>
      <c r="G103" t="str">
        <f t="shared" si="4"/>
        <v>Campaign</v>
      </c>
      <c r="H103">
        <v>3</v>
      </c>
      <c r="I103" s="4">
        <v>0.3</v>
      </c>
      <c r="J103">
        <v>308.64</v>
      </c>
      <c r="K103" s="6">
        <v>124.62</v>
      </c>
      <c r="L103" s="8">
        <f t="shared" si="5"/>
        <v>0.40377138413685854</v>
      </c>
    </row>
    <row r="104" spans="1:12" x14ac:dyDescent="0.2">
      <c r="A104" t="s">
        <v>233</v>
      </c>
      <c r="B104" s="1" t="d">
        <v>2025-05-03</v>
      </c>
      <c r="C104" s="1" t="str">
        <f t="shared" si="3"/>
        <v>May 2025</v>
      </c>
      <c r="D104" t="s">
        <v>234</v>
      </c>
      <c r="E104" t="s">
        <v>44</v>
      </c>
      <c r="F104" t="s">
        <v>1337</v>
      </c>
      <c r="G104" t="str">
        <f t="shared" si="4"/>
        <v>Non-Campaign</v>
      </c>
      <c r="H104">
        <v>3</v>
      </c>
      <c r="I104" s="4">
        <v>0.3</v>
      </c>
      <c r="J104">
        <v>337.53</v>
      </c>
      <c r="K104" s="6">
        <v>23.4</v>
      </c>
      <c r="L104" s="8">
        <f t="shared" si="5"/>
        <v>6.9327170918140613E-2</v>
      </c>
    </row>
    <row r="105" spans="1:12" x14ac:dyDescent="0.2">
      <c r="A105" t="s">
        <v>235</v>
      </c>
      <c r="B105" s="1" t="d">
        <v>2025-06-08</v>
      </c>
      <c r="C105" s="1" t="str">
        <f t="shared" si="3"/>
        <v>June 2025</v>
      </c>
      <c r="D105" t="s">
        <v>212</v>
      </c>
      <c r="E105" t="s">
        <v>15</v>
      </c>
      <c r="F105" t="s">
        <v>30</v>
      </c>
      <c r="G105" t="str">
        <f t="shared" si="4"/>
        <v>Campaign</v>
      </c>
      <c r="H105">
        <v>5</v>
      </c>
      <c r="I105" s="4">
        <v>0.1</v>
      </c>
      <c r="J105">
        <v>1830.56</v>
      </c>
      <c r="K105" s="6">
        <v>449.01</v>
      </c>
      <c r="L105" s="8">
        <f t="shared" si="5"/>
        <v>0.24528559566471461</v>
      </c>
    </row>
    <row r="106" spans="1:12" x14ac:dyDescent="0.2">
      <c r="A106" t="s">
        <v>236</v>
      </c>
      <c r="B106" s="1" t="d">
        <v>2024-08-11</v>
      </c>
      <c r="C106" s="1" t="str">
        <f t="shared" si="3"/>
        <v>August 2024</v>
      </c>
      <c r="D106" t="s">
        <v>237</v>
      </c>
      <c r="E106" t="s">
        <v>53</v>
      </c>
      <c r="F106" t="s">
        <v>109</v>
      </c>
      <c r="G106" t="str">
        <f t="shared" si="4"/>
        <v>Campaign</v>
      </c>
      <c r="H106">
        <v>2</v>
      </c>
      <c r="I106" s="4">
        <v>0</v>
      </c>
      <c r="J106">
        <v>669.22</v>
      </c>
      <c r="K106" s="6">
        <v>295.62</v>
      </c>
      <c r="L106" s="8">
        <f t="shared" si="5"/>
        <v>0.44173814291264457</v>
      </c>
    </row>
    <row r="107" spans="1:12" x14ac:dyDescent="0.2">
      <c r="A107" t="s">
        <v>238</v>
      </c>
      <c r="B107" s="1" t="d">
        <v>2025-05-18</v>
      </c>
      <c r="C107" s="1" t="str">
        <f t="shared" si="3"/>
        <v>May 2025</v>
      </c>
      <c r="D107" t="s">
        <v>239</v>
      </c>
      <c r="E107" t="s">
        <v>103</v>
      </c>
      <c r="F107" t="s">
        <v>12</v>
      </c>
      <c r="G107" t="str">
        <f t="shared" si="4"/>
        <v>Campaign</v>
      </c>
      <c r="H107">
        <v>5</v>
      </c>
      <c r="I107" s="4">
        <v>0.05</v>
      </c>
      <c r="J107">
        <v>449.49</v>
      </c>
      <c r="K107" s="6">
        <v>79.09</v>
      </c>
      <c r="L107" s="8">
        <f t="shared" si="5"/>
        <v>0.1759549711895704</v>
      </c>
    </row>
    <row r="108" spans="1:12" x14ac:dyDescent="0.2">
      <c r="A108" t="s">
        <v>240</v>
      </c>
      <c r="B108" s="1" t="d">
        <v>2024-12-18</v>
      </c>
      <c r="C108" s="1" t="str">
        <f t="shared" si="3"/>
        <v>December 2024</v>
      </c>
      <c r="D108" t="s">
        <v>241</v>
      </c>
      <c r="E108" t="s">
        <v>58</v>
      </c>
      <c r="F108" t="s">
        <v>20</v>
      </c>
      <c r="G108" t="str">
        <f t="shared" si="4"/>
        <v>Campaign</v>
      </c>
      <c r="H108">
        <v>4</v>
      </c>
      <c r="I108" s="4">
        <v>0.1</v>
      </c>
      <c r="J108">
        <v>249.12</v>
      </c>
      <c r="K108" s="6">
        <v>56.4</v>
      </c>
      <c r="L108" s="8">
        <f t="shared" si="5"/>
        <v>0.22639691714836221</v>
      </c>
    </row>
    <row r="109" spans="1:12" x14ac:dyDescent="0.2">
      <c r="A109" t="s">
        <v>242</v>
      </c>
      <c r="B109" s="1" t="d">
        <v>2024-11-01</v>
      </c>
      <c r="C109" s="1" t="str">
        <f t="shared" si="3"/>
        <v>November 2024</v>
      </c>
      <c r="D109" t="s">
        <v>243</v>
      </c>
      <c r="E109" t="s">
        <v>23</v>
      </c>
      <c r="F109" t="s">
        <v>16</v>
      </c>
      <c r="G109" t="str">
        <f t="shared" si="4"/>
        <v>Campaign</v>
      </c>
      <c r="H109">
        <v>1</v>
      </c>
      <c r="I109" s="4">
        <v>0.2</v>
      </c>
      <c r="J109">
        <v>210.06</v>
      </c>
      <c r="K109" s="6">
        <v>102.24</v>
      </c>
      <c r="L109" s="8">
        <f t="shared" si="5"/>
        <v>0.4867180805484147</v>
      </c>
    </row>
    <row r="110" spans="1:12" x14ac:dyDescent="0.2">
      <c r="A110" t="s">
        <v>244</v>
      </c>
      <c r="B110" s="1" t="d">
        <v>2025-05-07</v>
      </c>
      <c r="C110" s="1" t="str">
        <f t="shared" si="3"/>
        <v>May 2025</v>
      </c>
      <c r="D110" t="s">
        <v>245</v>
      </c>
      <c r="E110" t="s">
        <v>19</v>
      </c>
      <c r="F110" t="s">
        <v>1337</v>
      </c>
      <c r="G110" t="str">
        <f t="shared" si="4"/>
        <v>Non-Campaign</v>
      </c>
      <c r="H110">
        <v>4</v>
      </c>
      <c r="I110" s="4">
        <v>0.3</v>
      </c>
      <c r="J110">
        <v>444.95</v>
      </c>
      <c r="K110" s="6">
        <v>170.39</v>
      </c>
      <c r="L110" s="8">
        <f t="shared" si="5"/>
        <v>0.38294190358467239</v>
      </c>
    </row>
    <row r="111" spans="1:12" x14ac:dyDescent="0.2">
      <c r="A111" t="s">
        <v>246</v>
      </c>
      <c r="B111" s="1" t="d">
        <v>2024-08-05</v>
      </c>
      <c r="C111" s="1" t="str">
        <f t="shared" si="3"/>
        <v>August 2024</v>
      </c>
      <c r="D111" t="s">
        <v>247</v>
      </c>
      <c r="E111" t="s">
        <v>47</v>
      </c>
      <c r="F111" t="s">
        <v>109</v>
      </c>
      <c r="G111" t="str">
        <f t="shared" si="4"/>
        <v>Campaign</v>
      </c>
      <c r="H111">
        <v>3</v>
      </c>
      <c r="I111" s="4">
        <v>0.1</v>
      </c>
      <c r="J111">
        <v>811.62</v>
      </c>
      <c r="K111" s="6">
        <v>127.05</v>
      </c>
      <c r="L111" s="8">
        <f t="shared" si="5"/>
        <v>0.15653877430324536</v>
      </c>
    </row>
    <row r="112" spans="1:12" x14ac:dyDescent="0.2">
      <c r="A112" t="s">
        <v>248</v>
      </c>
      <c r="B112" s="1" t="d">
        <v>2024-08-17</v>
      </c>
      <c r="C112" s="1" t="str">
        <f t="shared" si="3"/>
        <v>August 2024</v>
      </c>
      <c r="D112" t="s">
        <v>158</v>
      </c>
      <c r="E112" t="s">
        <v>138</v>
      </c>
      <c r="F112" t="s">
        <v>20</v>
      </c>
      <c r="G112" t="str">
        <f t="shared" si="4"/>
        <v>Campaign</v>
      </c>
      <c r="H112">
        <v>5</v>
      </c>
      <c r="I112" s="4">
        <v>0.05</v>
      </c>
      <c r="J112">
        <v>2057.56</v>
      </c>
      <c r="K112" s="6">
        <v>1181.26</v>
      </c>
      <c r="L112" s="8">
        <f t="shared" si="5"/>
        <v>0.57410719492991702</v>
      </c>
    </row>
    <row r="113" spans="1:12" x14ac:dyDescent="0.2">
      <c r="A113" t="s">
        <v>249</v>
      </c>
      <c r="B113" s="1" t="d">
        <v>2024-07-29</v>
      </c>
      <c r="C113" s="1" t="str">
        <f t="shared" si="3"/>
        <v>July 2024</v>
      </c>
      <c r="D113" t="s">
        <v>250</v>
      </c>
      <c r="E113" t="s">
        <v>85</v>
      </c>
      <c r="F113" t="s">
        <v>12</v>
      </c>
      <c r="G113" t="str">
        <f t="shared" si="4"/>
        <v>Campaign</v>
      </c>
      <c r="H113">
        <v>2</v>
      </c>
      <c r="I113" s="4">
        <v>0.15</v>
      </c>
      <c r="J113">
        <v>250.14</v>
      </c>
      <c r="K113" s="6">
        <v>103.4</v>
      </c>
      <c r="L113" s="8">
        <f t="shared" si="5"/>
        <v>0.41336851363236593</v>
      </c>
    </row>
    <row r="114" spans="1:12" x14ac:dyDescent="0.2">
      <c r="A114" t="s">
        <v>251</v>
      </c>
      <c r="B114" s="1" t="d">
        <v>2024-09-10</v>
      </c>
      <c r="C114" s="1" t="str">
        <f t="shared" si="3"/>
        <v>September 2024</v>
      </c>
      <c r="D114" t="s">
        <v>252</v>
      </c>
      <c r="E114" t="s">
        <v>138</v>
      </c>
      <c r="F114" t="s">
        <v>12</v>
      </c>
      <c r="G114" t="str">
        <f t="shared" si="4"/>
        <v>Campaign</v>
      </c>
      <c r="H114">
        <v>4</v>
      </c>
      <c r="I114" s="4">
        <v>0.15</v>
      </c>
      <c r="J114">
        <v>1472.78</v>
      </c>
      <c r="K114" s="6">
        <v>771.74</v>
      </c>
      <c r="L114" s="8">
        <f t="shared" si="5"/>
        <v>0.52400222708075883</v>
      </c>
    </row>
    <row r="115" spans="1:12" x14ac:dyDescent="0.2">
      <c r="A115" t="s">
        <v>253</v>
      </c>
      <c r="B115" s="1" t="d">
        <v>2024-09-10</v>
      </c>
      <c r="C115" s="1" t="str">
        <f t="shared" si="3"/>
        <v>September 2024</v>
      </c>
      <c r="D115" t="s">
        <v>105</v>
      </c>
      <c r="E115" t="s">
        <v>138</v>
      </c>
      <c r="F115" t="s">
        <v>109</v>
      </c>
      <c r="G115" t="str">
        <f t="shared" si="4"/>
        <v>Campaign</v>
      </c>
      <c r="H115">
        <v>1</v>
      </c>
      <c r="I115" s="4">
        <v>0</v>
      </c>
      <c r="J115">
        <v>433.17</v>
      </c>
      <c r="K115" s="6">
        <v>257.91000000000003</v>
      </c>
      <c r="L115" s="8">
        <f t="shared" si="5"/>
        <v>0.59540134358335073</v>
      </c>
    </row>
    <row r="116" spans="1:12" x14ac:dyDescent="0.2">
      <c r="A116" t="s">
        <v>254</v>
      </c>
      <c r="B116" s="1" t="d">
        <v>2024-08-27</v>
      </c>
      <c r="C116" s="1" t="str">
        <f t="shared" si="3"/>
        <v>August 2024</v>
      </c>
      <c r="D116" t="s">
        <v>255</v>
      </c>
      <c r="E116" t="s">
        <v>148</v>
      </c>
      <c r="F116" t="s">
        <v>20</v>
      </c>
      <c r="G116" t="str">
        <f t="shared" si="4"/>
        <v>Campaign</v>
      </c>
      <c r="H116">
        <v>3</v>
      </c>
      <c r="I116" s="4">
        <v>0.1</v>
      </c>
      <c r="J116">
        <v>1336.42</v>
      </c>
      <c r="K116" s="6">
        <v>362.32</v>
      </c>
      <c r="L116" s="8">
        <f t="shared" si="5"/>
        <v>0.27111237485221712</v>
      </c>
    </row>
    <row r="117" spans="1:12" x14ac:dyDescent="0.2">
      <c r="A117" t="s">
        <v>256</v>
      </c>
      <c r="B117" s="1" t="d">
        <v>2025-04-29</v>
      </c>
      <c r="C117" s="1" t="str">
        <f t="shared" si="3"/>
        <v>April 2025</v>
      </c>
      <c r="D117" t="s">
        <v>257</v>
      </c>
      <c r="E117" t="s">
        <v>41</v>
      </c>
      <c r="F117" t="s">
        <v>1337</v>
      </c>
      <c r="G117" t="str">
        <f t="shared" si="4"/>
        <v>Non-Campaign</v>
      </c>
      <c r="H117">
        <v>2</v>
      </c>
      <c r="I117" s="4">
        <v>0.2</v>
      </c>
      <c r="J117">
        <v>663.15</v>
      </c>
      <c r="K117" s="6">
        <v>64.650000000000006</v>
      </c>
      <c r="L117" s="8">
        <f t="shared" si="5"/>
        <v>9.7489255824474111E-2</v>
      </c>
    </row>
    <row r="118" spans="1:12" x14ac:dyDescent="0.2">
      <c r="A118" t="s">
        <v>258</v>
      </c>
      <c r="B118" s="1" t="d">
        <v>2025-06-22</v>
      </c>
      <c r="C118" s="1" t="str">
        <f t="shared" si="3"/>
        <v>June 2025</v>
      </c>
      <c r="D118" t="s">
        <v>174</v>
      </c>
      <c r="E118" t="s">
        <v>72</v>
      </c>
      <c r="F118" t="s">
        <v>30</v>
      </c>
      <c r="G118" t="str">
        <f t="shared" si="4"/>
        <v>Campaign</v>
      </c>
      <c r="H118">
        <v>1</v>
      </c>
      <c r="I118" s="4">
        <v>0.1</v>
      </c>
      <c r="J118">
        <v>58.07</v>
      </c>
      <c r="K118" s="6">
        <v>29.77</v>
      </c>
      <c r="L118" s="8">
        <f t="shared" si="5"/>
        <v>0.51265713793697265</v>
      </c>
    </row>
    <row r="119" spans="1:12" x14ac:dyDescent="0.2">
      <c r="A119" t="s">
        <v>259</v>
      </c>
      <c r="B119" s="1" t="d">
        <v>2024-07-22</v>
      </c>
      <c r="C119" s="1" t="str">
        <f t="shared" si="3"/>
        <v>July 2024</v>
      </c>
      <c r="D119" t="s">
        <v>260</v>
      </c>
      <c r="E119" t="s">
        <v>85</v>
      </c>
      <c r="F119" t="s">
        <v>1337</v>
      </c>
      <c r="G119" t="str">
        <f t="shared" si="4"/>
        <v>Non-Campaign</v>
      </c>
      <c r="H119">
        <v>3</v>
      </c>
      <c r="I119" s="4">
        <v>0.3</v>
      </c>
      <c r="J119">
        <v>308.99</v>
      </c>
      <c r="K119" s="6">
        <v>88.88</v>
      </c>
      <c r="L119" s="8">
        <f t="shared" si="5"/>
        <v>0.28764684941260232</v>
      </c>
    </row>
    <row r="120" spans="1:12" x14ac:dyDescent="0.2">
      <c r="A120" t="s">
        <v>261</v>
      </c>
      <c r="B120" s="1" t="d">
        <v>2025-05-19</v>
      </c>
      <c r="C120" s="1" t="str">
        <f t="shared" si="3"/>
        <v>May 2025</v>
      </c>
      <c r="D120" t="s">
        <v>105</v>
      </c>
      <c r="E120" t="s">
        <v>29</v>
      </c>
      <c r="F120" t="s">
        <v>1337</v>
      </c>
      <c r="G120" t="str">
        <f t="shared" si="4"/>
        <v>Non-Campaign</v>
      </c>
      <c r="H120">
        <v>3</v>
      </c>
      <c r="I120" s="4">
        <v>0.2</v>
      </c>
      <c r="J120">
        <v>902.26</v>
      </c>
      <c r="K120" s="6">
        <v>340.66</v>
      </c>
      <c r="L120" s="8">
        <f t="shared" si="5"/>
        <v>0.3775630084454592</v>
      </c>
    </row>
    <row r="121" spans="1:12" x14ac:dyDescent="0.2">
      <c r="A121" t="s">
        <v>262</v>
      </c>
      <c r="B121" s="1" t="d">
        <v>2024-07-22</v>
      </c>
      <c r="C121" s="1" t="str">
        <f t="shared" si="3"/>
        <v>July 2024</v>
      </c>
      <c r="D121" t="s">
        <v>263</v>
      </c>
      <c r="E121" t="s">
        <v>35</v>
      </c>
      <c r="F121" t="s">
        <v>1337</v>
      </c>
      <c r="G121" t="str">
        <f t="shared" si="4"/>
        <v>Non-Campaign</v>
      </c>
      <c r="H121">
        <v>4</v>
      </c>
      <c r="I121" s="4">
        <v>0.2</v>
      </c>
      <c r="J121">
        <v>969.12</v>
      </c>
      <c r="K121" s="6">
        <v>92.36</v>
      </c>
      <c r="L121" s="8">
        <f t="shared" si="5"/>
        <v>9.530295525837873E-2</v>
      </c>
    </row>
    <row r="122" spans="1:12" x14ac:dyDescent="0.2">
      <c r="A122" t="s">
        <v>264</v>
      </c>
      <c r="B122" s="1" t="d">
        <v>2025-01-02</v>
      </c>
      <c r="C122" s="1" t="str">
        <f t="shared" si="3"/>
        <v>January 2025</v>
      </c>
      <c r="D122" t="s">
        <v>265</v>
      </c>
      <c r="E122" t="s">
        <v>26</v>
      </c>
      <c r="F122" t="s">
        <v>1337</v>
      </c>
      <c r="G122" t="str">
        <f t="shared" si="4"/>
        <v>Non-Campaign</v>
      </c>
      <c r="H122">
        <v>1</v>
      </c>
      <c r="I122" s="4">
        <v>0.05</v>
      </c>
      <c r="J122">
        <v>211.39</v>
      </c>
      <c r="K122" s="6">
        <v>119.73</v>
      </c>
      <c r="L122" s="8">
        <f t="shared" si="5"/>
        <v>0.56639386915180479</v>
      </c>
    </row>
    <row r="123" spans="1:12" x14ac:dyDescent="0.2">
      <c r="A123" t="s">
        <v>266</v>
      </c>
      <c r="B123" s="1" t="d">
        <v>2025-01-18</v>
      </c>
      <c r="C123" s="1" t="str">
        <f t="shared" si="3"/>
        <v>January 2025</v>
      </c>
      <c r="D123" t="s">
        <v>267</v>
      </c>
      <c r="E123" t="s">
        <v>106</v>
      </c>
      <c r="F123" t="s">
        <v>1337</v>
      </c>
      <c r="G123" t="str">
        <f t="shared" si="4"/>
        <v>Non-Campaign</v>
      </c>
      <c r="H123">
        <v>2</v>
      </c>
      <c r="I123" s="4">
        <v>0</v>
      </c>
      <c r="J123">
        <v>395.38</v>
      </c>
      <c r="K123" s="6">
        <v>204.1</v>
      </c>
      <c r="L123" s="8">
        <f t="shared" si="5"/>
        <v>0.51621225150488137</v>
      </c>
    </row>
    <row r="124" spans="1:12" x14ac:dyDescent="0.2">
      <c r="A124" t="s">
        <v>268</v>
      </c>
      <c r="B124" s="1" t="d">
        <v>2025-02-17</v>
      </c>
      <c r="C124" s="1" t="str">
        <f t="shared" si="3"/>
        <v>February 2025</v>
      </c>
      <c r="D124" t="s">
        <v>269</v>
      </c>
      <c r="E124" t="s">
        <v>177</v>
      </c>
      <c r="F124" t="s">
        <v>30</v>
      </c>
      <c r="G124" t="str">
        <f t="shared" si="4"/>
        <v>Campaign</v>
      </c>
      <c r="H124">
        <v>4</v>
      </c>
      <c r="I124" s="4">
        <v>0.1</v>
      </c>
      <c r="J124">
        <v>404.28</v>
      </c>
      <c r="K124" s="6">
        <v>212.12</v>
      </c>
      <c r="L124" s="8">
        <f t="shared" si="5"/>
        <v>0.52468586128425854</v>
      </c>
    </row>
    <row r="125" spans="1:12" x14ac:dyDescent="0.2">
      <c r="A125" t="s">
        <v>270</v>
      </c>
      <c r="B125" s="1" t="d">
        <v>2024-08-29</v>
      </c>
      <c r="C125" s="1" t="str">
        <f t="shared" si="3"/>
        <v>August 2024</v>
      </c>
      <c r="D125" t="s">
        <v>271</v>
      </c>
      <c r="E125" t="s">
        <v>80</v>
      </c>
      <c r="F125" t="s">
        <v>12</v>
      </c>
      <c r="G125" t="str">
        <f t="shared" si="4"/>
        <v>Campaign</v>
      </c>
      <c r="H125">
        <v>3</v>
      </c>
      <c r="I125" s="4">
        <v>0.3</v>
      </c>
      <c r="J125">
        <v>308.64</v>
      </c>
      <c r="K125" s="6">
        <v>124.62</v>
      </c>
      <c r="L125" s="8">
        <f t="shared" si="5"/>
        <v>0.40377138413685854</v>
      </c>
    </row>
    <row r="126" spans="1:12" x14ac:dyDescent="0.2">
      <c r="A126" t="s">
        <v>272</v>
      </c>
      <c r="B126" s="1" t="d">
        <v>2024-11-06</v>
      </c>
      <c r="C126" s="1" t="str">
        <f t="shared" si="3"/>
        <v>November 2024</v>
      </c>
      <c r="D126" t="s">
        <v>273</v>
      </c>
      <c r="E126" t="s">
        <v>53</v>
      </c>
      <c r="F126" t="s">
        <v>30</v>
      </c>
      <c r="G126" t="str">
        <f t="shared" si="4"/>
        <v>Campaign</v>
      </c>
      <c r="H126">
        <v>1</v>
      </c>
      <c r="I126" s="4">
        <v>0.3</v>
      </c>
      <c r="J126">
        <v>234.23</v>
      </c>
      <c r="K126" s="6">
        <v>47.43</v>
      </c>
      <c r="L126" s="8">
        <f t="shared" si="5"/>
        <v>0.20249327583998636</v>
      </c>
    </row>
    <row r="127" spans="1:12" x14ac:dyDescent="0.2">
      <c r="A127" t="s">
        <v>274</v>
      </c>
      <c r="B127" s="1" t="d">
        <v>2024-09-24</v>
      </c>
      <c r="C127" s="1" t="str">
        <f t="shared" si="3"/>
        <v>September 2024</v>
      </c>
      <c r="D127" t="s">
        <v>192</v>
      </c>
      <c r="E127" t="s">
        <v>11</v>
      </c>
      <c r="F127" t="s">
        <v>109</v>
      </c>
      <c r="G127" t="str">
        <f t="shared" si="4"/>
        <v>Campaign</v>
      </c>
      <c r="H127">
        <v>2</v>
      </c>
      <c r="I127" s="4">
        <v>0.15</v>
      </c>
      <c r="J127">
        <v>344.18</v>
      </c>
      <c r="K127" s="6">
        <v>108.78</v>
      </c>
      <c r="L127" s="8">
        <f t="shared" si="5"/>
        <v>0.31605555232727062</v>
      </c>
    </row>
    <row r="128" spans="1:12" x14ac:dyDescent="0.2">
      <c r="A128" t="s">
        <v>275</v>
      </c>
      <c r="B128" s="1" t="d">
        <v>2024-10-08</v>
      </c>
      <c r="C128" s="1" t="str">
        <f t="shared" si="3"/>
        <v>October 2024</v>
      </c>
      <c r="D128" t="s">
        <v>137</v>
      </c>
      <c r="E128" t="s">
        <v>138</v>
      </c>
      <c r="F128" t="s">
        <v>109</v>
      </c>
      <c r="G128" t="str">
        <f t="shared" si="4"/>
        <v>Campaign</v>
      </c>
      <c r="H128">
        <v>1</v>
      </c>
      <c r="I128" s="4">
        <v>0.3</v>
      </c>
      <c r="J128">
        <v>303.22000000000003</v>
      </c>
      <c r="K128" s="6">
        <v>127.96</v>
      </c>
      <c r="L128" s="8">
        <f t="shared" si="5"/>
        <v>0.42200382560517108</v>
      </c>
    </row>
    <row r="129" spans="1:12" x14ac:dyDescent="0.2">
      <c r="A129" t="s">
        <v>276</v>
      </c>
      <c r="B129" s="1" t="d">
        <v>2025-05-15</v>
      </c>
      <c r="C129" s="1" t="str">
        <f t="shared" si="3"/>
        <v>May 2025</v>
      </c>
      <c r="D129" t="s">
        <v>79</v>
      </c>
      <c r="E129" t="s">
        <v>44</v>
      </c>
      <c r="F129" t="s">
        <v>30</v>
      </c>
      <c r="G129" t="str">
        <f t="shared" si="4"/>
        <v>Campaign</v>
      </c>
      <c r="H129">
        <v>2</v>
      </c>
      <c r="I129" s="4">
        <v>0.05</v>
      </c>
      <c r="J129">
        <v>305.39</v>
      </c>
      <c r="K129" s="6">
        <v>95.97</v>
      </c>
      <c r="L129" s="8">
        <f t="shared" si="5"/>
        <v>0.31425390484298765</v>
      </c>
    </row>
    <row r="130" spans="1:12" x14ac:dyDescent="0.2">
      <c r="A130" t="s">
        <v>277</v>
      </c>
      <c r="B130" s="1" t="d">
        <v>2024-12-22</v>
      </c>
      <c r="C130" s="1" t="str">
        <f t="shared" ref="C130:C193" si="6">TEXT(B130, "mmmm yyyy")</f>
        <v>December 2024</v>
      </c>
      <c r="D130" t="s">
        <v>221</v>
      </c>
      <c r="E130" t="s">
        <v>193</v>
      </c>
      <c r="F130" t="s">
        <v>1337</v>
      </c>
      <c r="G130" t="str">
        <f t="shared" ref="G130:G193" si="7">IF(F130="No Campaign", "Non-Campaign", "Campaign")</f>
        <v>Non-Campaign</v>
      </c>
      <c r="H130">
        <v>5</v>
      </c>
      <c r="I130" s="4">
        <v>0.1</v>
      </c>
      <c r="J130">
        <v>1493.73</v>
      </c>
      <c r="K130" s="6">
        <v>468.08</v>
      </c>
      <c r="L130" s="8">
        <f t="shared" ref="L130:L193" si="8">IF(J130=0, 0,K130/J130)</f>
        <v>0.31336319147369335</v>
      </c>
    </row>
    <row r="131" spans="1:12" x14ac:dyDescent="0.2">
      <c r="A131" t="s">
        <v>278</v>
      </c>
      <c r="B131" s="1" t="d">
        <v>2025-06-06</v>
      </c>
      <c r="C131" s="1" t="str">
        <f t="shared" si="6"/>
        <v>June 2025</v>
      </c>
      <c r="D131" t="s">
        <v>279</v>
      </c>
      <c r="E131" t="s">
        <v>53</v>
      </c>
      <c r="F131" t="s">
        <v>1337</v>
      </c>
      <c r="G131" t="str">
        <f t="shared" si="7"/>
        <v>Non-Campaign</v>
      </c>
      <c r="H131">
        <v>5</v>
      </c>
      <c r="I131" s="4">
        <v>0.3</v>
      </c>
      <c r="J131">
        <v>1171.1400000000001</v>
      </c>
      <c r="K131" s="6">
        <v>237.14</v>
      </c>
      <c r="L131" s="8">
        <f t="shared" si="8"/>
        <v>0.20248646617825364</v>
      </c>
    </row>
    <row r="132" spans="1:12" x14ac:dyDescent="0.2">
      <c r="A132" t="s">
        <v>280</v>
      </c>
      <c r="B132" s="1" t="d">
        <v>2024-08-25</v>
      </c>
      <c r="C132" s="1" t="str">
        <f t="shared" si="6"/>
        <v>August 2024</v>
      </c>
      <c r="D132" t="s">
        <v>281</v>
      </c>
      <c r="E132" t="s">
        <v>47</v>
      </c>
      <c r="F132" t="s">
        <v>30</v>
      </c>
      <c r="G132" t="str">
        <f t="shared" si="7"/>
        <v>Campaign</v>
      </c>
      <c r="H132">
        <v>5</v>
      </c>
      <c r="I132" s="4">
        <v>0</v>
      </c>
      <c r="J132">
        <v>1503</v>
      </c>
      <c r="K132" s="6">
        <v>362.05</v>
      </c>
      <c r="L132" s="8">
        <f t="shared" si="8"/>
        <v>0.24088489687292083</v>
      </c>
    </row>
    <row r="133" spans="1:12" x14ac:dyDescent="0.2">
      <c r="A133" t="s">
        <v>282</v>
      </c>
      <c r="B133" s="1" t="d">
        <v>2025-06-02</v>
      </c>
      <c r="C133" s="1" t="str">
        <f t="shared" si="6"/>
        <v>June 2025</v>
      </c>
      <c r="D133" t="s">
        <v>283</v>
      </c>
      <c r="E133" t="s">
        <v>11</v>
      </c>
      <c r="F133" t="s">
        <v>1337</v>
      </c>
      <c r="G133" t="str">
        <f t="shared" si="7"/>
        <v>Non-Campaign</v>
      </c>
      <c r="H133">
        <v>1</v>
      </c>
      <c r="I133" s="4">
        <v>0.2</v>
      </c>
      <c r="J133">
        <v>161.97</v>
      </c>
      <c r="K133" s="6">
        <v>44.27</v>
      </c>
      <c r="L133" s="8">
        <f t="shared" si="8"/>
        <v>0.27332222016422797</v>
      </c>
    </row>
    <row r="134" spans="1:12" x14ac:dyDescent="0.2">
      <c r="A134" t="s">
        <v>284</v>
      </c>
      <c r="B134" s="1" t="d">
        <v>2024-12-31</v>
      </c>
      <c r="C134" s="1" t="str">
        <f t="shared" si="6"/>
        <v>December 2024</v>
      </c>
      <c r="D134" t="s">
        <v>285</v>
      </c>
      <c r="E134" t="s">
        <v>58</v>
      </c>
      <c r="F134" t="s">
        <v>30</v>
      </c>
      <c r="G134" t="str">
        <f t="shared" si="7"/>
        <v>Campaign</v>
      </c>
      <c r="H134">
        <v>5</v>
      </c>
      <c r="I134" s="4">
        <v>0.2</v>
      </c>
      <c r="J134">
        <v>276.8</v>
      </c>
      <c r="K134" s="6">
        <v>35.9</v>
      </c>
      <c r="L134" s="8">
        <f t="shared" si="8"/>
        <v>0.12969653179190752</v>
      </c>
    </row>
    <row r="135" spans="1:12" x14ac:dyDescent="0.2">
      <c r="A135" t="s">
        <v>286</v>
      </c>
      <c r="B135" s="1" t="d">
        <v>2024-12-19</v>
      </c>
      <c r="C135" s="1" t="str">
        <f t="shared" si="6"/>
        <v>December 2024</v>
      </c>
      <c r="D135" t="s">
        <v>287</v>
      </c>
      <c r="E135" t="s">
        <v>35</v>
      </c>
      <c r="F135" t="s">
        <v>1337</v>
      </c>
      <c r="G135" t="str">
        <f t="shared" si="7"/>
        <v>Non-Campaign</v>
      </c>
      <c r="H135">
        <v>5</v>
      </c>
      <c r="I135" s="4">
        <v>0.15</v>
      </c>
      <c r="J135">
        <v>1287.1099999999999</v>
      </c>
      <c r="K135" s="6">
        <v>191.16</v>
      </c>
      <c r="L135" s="8">
        <f t="shared" si="8"/>
        <v>0.14851877461910792</v>
      </c>
    </row>
    <row r="136" spans="1:12" x14ac:dyDescent="0.2">
      <c r="A136" t="s">
        <v>288</v>
      </c>
      <c r="B136" s="1" t="d">
        <v>2024-10-09</v>
      </c>
      <c r="C136" s="1" t="str">
        <f t="shared" si="6"/>
        <v>October 2024</v>
      </c>
      <c r="D136" t="s">
        <v>289</v>
      </c>
      <c r="E136" t="s">
        <v>96</v>
      </c>
      <c r="F136" t="s">
        <v>30</v>
      </c>
      <c r="G136" t="str">
        <f t="shared" si="7"/>
        <v>Campaign</v>
      </c>
      <c r="H136">
        <v>5</v>
      </c>
      <c r="I136" s="4">
        <v>0.15</v>
      </c>
      <c r="J136">
        <v>220.02</v>
      </c>
      <c r="K136" s="6">
        <v>21.92</v>
      </c>
      <c r="L136" s="8">
        <f t="shared" si="8"/>
        <v>9.9627306608490146E-2</v>
      </c>
    </row>
    <row r="137" spans="1:12" x14ac:dyDescent="0.2">
      <c r="A137" t="s">
        <v>290</v>
      </c>
      <c r="B137" s="1" t="d">
        <v>2025-05-22</v>
      </c>
      <c r="C137" s="1" t="str">
        <f t="shared" si="6"/>
        <v>May 2025</v>
      </c>
      <c r="D137" t="s">
        <v>176</v>
      </c>
      <c r="E137" t="s">
        <v>135</v>
      </c>
      <c r="F137" t="s">
        <v>1337</v>
      </c>
      <c r="G137" t="str">
        <f t="shared" si="7"/>
        <v>Non-Campaign</v>
      </c>
      <c r="H137">
        <v>1</v>
      </c>
      <c r="I137" s="4">
        <v>0.15</v>
      </c>
      <c r="J137">
        <v>172.7</v>
      </c>
      <c r="K137" s="6">
        <v>10.47</v>
      </c>
      <c r="L137" s="8">
        <f t="shared" si="8"/>
        <v>6.0625361899247256E-2</v>
      </c>
    </row>
    <row r="138" spans="1:12" x14ac:dyDescent="0.2">
      <c r="A138" t="s">
        <v>291</v>
      </c>
      <c r="B138" s="1" t="d">
        <v>2025-01-05</v>
      </c>
      <c r="C138" s="1" t="str">
        <f t="shared" si="6"/>
        <v>January 2025</v>
      </c>
      <c r="D138" t="s">
        <v>292</v>
      </c>
      <c r="E138" t="s">
        <v>38</v>
      </c>
      <c r="F138" t="s">
        <v>1337</v>
      </c>
      <c r="G138" t="str">
        <f t="shared" si="7"/>
        <v>Non-Campaign</v>
      </c>
      <c r="H138">
        <v>4</v>
      </c>
      <c r="I138" s="4">
        <v>0.2</v>
      </c>
      <c r="J138">
        <v>1502.69</v>
      </c>
      <c r="K138" s="6">
        <v>264.45</v>
      </c>
      <c r="L138" s="8">
        <f t="shared" si="8"/>
        <v>0.17598440130698945</v>
      </c>
    </row>
    <row r="139" spans="1:12" x14ac:dyDescent="0.2">
      <c r="A139" t="s">
        <v>293</v>
      </c>
      <c r="B139" s="1" t="d">
        <v>2025-04-02</v>
      </c>
      <c r="C139" s="1" t="str">
        <f t="shared" si="6"/>
        <v>April 2025</v>
      </c>
      <c r="D139" t="s">
        <v>294</v>
      </c>
      <c r="E139" t="s">
        <v>50</v>
      </c>
      <c r="F139" t="s">
        <v>1337</v>
      </c>
      <c r="G139" t="str">
        <f t="shared" si="7"/>
        <v>Non-Campaign</v>
      </c>
      <c r="H139">
        <v>3</v>
      </c>
      <c r="I139" s="4">
        <v>0.3</v>
      </c>
      <c r="J139">
        <v>776.96</v>
      </c>
      <c r="K139" s="6">
        <v>260.45</v>
      </c>
      <c r="L139" s="8">
        <f t="shared" si="8"/>
        <v>0.33521674217462927</v>
      </c>
    </row>
    <row r="140" spans="1:12" x14ac:dyDescent="0.2">
      <c r="A140" t="s">
        <v>295</v>
      </c>
      <c r="B140" s="1" t="d">
        <v>2025-03-31</v>
      </c>
      <c r="C140" s="1" t="str">
        <f t="shared" si="6"/>
        <v>March 2025</v>
      </c>
      <c r="D140" t="s">
        <v>296</v>
      </c>
      <c r="E140" t="s">
        <v>177</v>
      </c>
      <c r="F140" t="s">
        <v>109</v>
      </c>
      <c r="G140" t="str">
        <f t="shared" si="7"/>
        <v>Campaign</v>
      </c>
      <c r="H140">
        <v>1</v>
      </c>
      <c r="I140" s="4">
        <v>0.3</v>
      </c>
      <c r="J140">
        <v>78.61</v>
      </c>
      <c r="K140" s="6">
        <v>30.57</v>
      </c>
      <c r="L140" s="8">
        <f t="shared" si="8"/>
        <v>0.3888818216511894</v>
      </c>
    </row>
    <row r="141" spans="1:12" x14ac:dyDescent="0.2">
      <c r="A141" t="s">
        <v>297</v>
      </c>
      <c r="B141" s="1" t="d">
        <v>2024-09-08</v>
      </c>
      <c r="C141" s="1" t="str">
        <f t="shared" si="6"/>
        <v>September 2024</v>
      </c>
      <c r="D141" t="s">
        <v>281</v>
      </c>
      <c r="E141" t="s">
        <v>148</v>
      </c>
      <c r="F141" t="s">
        <v>20</v>
      </c>
      <c r="G141" t="str">
        <f t="shared" si="7"/>
        <v>Campaign</v>
      </c>
      <c r="H141">
        <v>1</v>
      </c>
      <c r="I141" s="4">
        <v>0.15</v>
      </c>
      <c r="J141">
        <v>420.72</v>
      </c>
      <c r="K141" s="6">
        <v>96.02</v>
      </c>
      <c r="L141" s="8">
        <f t="shared" si="8"/>
        <v>0.22822779996196993</v>
      </c>
    </row>
    <row r="142" spans="1:12" x14ac:dyDescent="0.2">
      <c r="A142" t="s">
        <v>298</v>
      </c>
      <c r="B142" s="1" t="d">
        <v>2024-07-20</v>
      </c>
      <c r="C142" s="1" t="str">
        <f t="shared" si="6"/>
        <v>July 2024</v>
      </c>
      <c r="D142" t="s">
        <v>299</v>
      </c>
      <c r="E142" t="s">
        <v>53</v>
      </c>
      <c r="F142" t="s">
        <v>20</v>
      </c>
      <c r="G142" t="str">
        <f t="shared" si="7"/>
        <v>Campaign</v>
      </c>
      <c r="H142">
        <v>5</v>
      </c>
      <c r="I142" s="4">
        <v>0</v>
      </c>
      <c r="J142">
        <v>1673.05</v>
      </c>
      <c r="K142" s="6">
        <v>739.05</v>
      </c>
      <c r="L142" s="8">
        <f t="shared" si="8"/>
        <v>0.44173814291264457</v>
      </c>
    </row>
    <row r="143" spans="1:12" x14ac:dyDescent="0.2">
      <c r="A143" t="s">
        <v>300</v>
      </c>
      <c r="B143" s="1" t="d">
        <v>2024-10-02</v>
      </c>
      <c r="C143" s="1" t="str">
        <f t="shared" si="6"/>
        <v>October 2024</v>
      </c>
      <c r="D143" t="s">
        <v>301</v>
      </c>
      <c r="E143" t="s">
        <v>138</v>
      </c>
      <c r="F143" t="s">
        <v>1337</v>
      </c>
      <c r="G143" t="str">
        <f t="shared" si="7"/>
        <v>Non-Campaign</v>
      </c>
      <c r="H143">
        <v>1</v>
      </c>
      <c r="I143" s="4">
        <v>0.1</v>
      </c>
      <c r="J143">
        <v>389.85</v>
      </c>
      <c r="K143" s="6">
        <v>214.59</v>
      </c>
      <c r="L143" s="8">
        <f t="shared" si="8"/>
        <v>0.55044247787610612</v>
      </c>
    </row>
    <row r="144" spans="1:12" x14ac:dyDescent="0.2">
      <c r="A144" t="s">
        <v>302</v>
      </c>
      <c r="B144" s="1" t="d">
        <v>2025-01-22</v>
      </c>
      <c r="C144" s="1" t="str">
        <f t="shared" si="6"/>
        <v>January 2025</v>
      </c>
      <c r="D144" t="s">
        <v>129</v>
      </c>
      <c r="E144" t="s">
        <v>35</v>
      </c>
      <c r="F144" t="s">
        <v>16</v>
      </c>
      <c r="G144" t="str">
        <f t="shared" si="7"/>
        <v>Campaign</v>
      </c>
      <c r="H144">
        <v>4</v>
      </c>
      <c r="I144" s="4">
        <v>0.1</v>
      </c>
      <c r="J144">
        <v>1090.26</v>
      </c>
      <c r="K144" s="6">
        <v>213.5</v>
      </c>
      <c r="L144" s="8">
        <f t="shared" si="8"/>
        <v>0.19582484911855888</v>
      </c>
    </row>
    <row r="145" spans="1:12" x14ac:dyDescent="0.2">
      <c r="A145" t="s">
        <v>303</v>
      </c>
      <c r="B145" s="1" t="d">
        <v>2025-06-07</v>
      </c>
      <c r="C145" s="1" t="str">
        <f t="shared" si="6"/>
        <v>June 2025</v>
      </c>
      <c r="D145" t="s">
        <v>304</v>
      </c>
      <c r="E145" t="s">
        <v>11</v>
      </c>
      <c r="F145" t="s">
        <v>1337</v>
      </c>
      <c r="G145" t="str">
        <f t="shared" si="7"/>
        <v>Non-Campaign</v>
      </c>
      <c r="H145">
        <v>4</v>
      </c>
      <c r="I145" s="4">
        <v>0</v>
      </c>
      <c r="J145">
        <v>809.84</v>
      </c>
      <c r="K145" s="6">
        <v>339.04</v>
      </c>
      <c r="L145" s="8">
        <f t="shared" si="8"/>
        <v>0.41865059764891832</v>
      </c>
    </row>
    <row r="146" spans="1:12" x14ac:dyDescent="0.2">
      <c r="A146" t="s">
        <v>305</v>
      </c>
      <c r="B146" s="1" t="d">
        <v>2025-06-02</v>
      </c>
      <c r="C146" s="1" t="str">
        <f t="shared" si="6"/>
        <v>June 2025</v>
      </c>
      <c r="D146" t="s">
        <v>306</v>
      </c>
      <c r="E146" t="s">
        <v>193</v>
      </c>
      <c r="F146" t="s">
        <v>1337</v>
      </c>
      <c r="G146" t="str">
        <f t="shared" si="7"/>
        <v>Non-Campaign</v>
      </c>
      <c r="H146">
        <v>1</v>
      </c>
      <c r="I146" s="4">
        <v>0.05</v>
      </c>
      <c r="J146">
        <v>315.33999999999997</v>
      </c>
      <c r="K146" s="6">
        <v>110.21</v>
      </c>
      <c r="L146" s="8">
        <f t="shared" si="8"/>
        <v>0.3494957823301833</v>
      </c>
    </row>
    <row r="147" spans="1:12" x14ac:dyDescent="0.2">
      <c r="A147" t="s">
        <v>307</v>
      </c>
      <c r="B147" s="1" t="d">
        <v>2025-03-25</v>
      </c>
      <c r="C147" s="1" t="str">
        <f t="shared" si="6"/>
        <v>March 2025</v>
      </c>
      <c r="D147" t="s">
        <v>308</v>
      </c>
      <c r="E147" t="s">
        <v>177</v>
      </c>
      <c r="F147" t="s">
        <v>16</v>
      </c>
      <c r="G147" t="str">
        <f t="shared" si="7"/>
        <v>Campaign</v>
      </c>
      <c r="H147">
        <v>2</v>
      </c>
      <c r="I147" s="4">
        <v>0</v>
      </c>
      <c r="J147">
        <v>224.6</v>
      </c>
      <c r="K147" s="6">
        <v>128.52000000000001</v>
      </c>
      <c r="L147" s="8">
        <f t="shared" si="8"/>
        <v>0.57221727515583265</v>
      </c>
    </row>
    <row r="148" spans="1:12" x14ac:dyDescent="0.2">
      <c r="A148" t="s">
        <v>309</v>
      </c>
      <c r="B148" s="1" t="d">
        <v>2024-10-23</v>
      </c>
      <c r="C148" s="1" t="str">
        <f t="shared" si="6"/>
        <v>October 2024</v>
      </c>
      <c r="D148" t="s">
        <v>296</v>
      </c>
      <c r="E148" t="s">
        <v>80</v>
      </c>
      <c r="F148" t="s">
        <v>1337</v>
      </c>
      <c r="G148" t="str">
        <f t="shared" si="7"/>
        <v>Non-Campaign</v>
      </c>
      <c r="H148">
        <v>5</v>
      </c>
      <c r="I148" s="4">
        <v>0.15</v>
      </c>
      <c r="J148">
        <v>624.62</v>
      </c>
      <c r="K148" s="6">
        <v>317.92</v>
      </c>
      <c r="L148" s="8">
        <f t="shared" si="8"/>
        <v>0.50898146072812267</v>
      </c>
    </row>
    <row r="149" spans="1:12" x14ac:dyDescent="0.2">
      <c r="A149" t="s">
        <v>310</v>
      </c>
      <c r="B149" s="1" t="d">
        <v>2025-03-21</v>
      </c>
      <c r="C149" s="1" t="str">
        <f t="shared" si="6"/>
        <v>March 2025</v>
      </c>
      <c r="D149" t="s">
        <v>206</v>
      </c>
      <c r="E149" t="s">
        <v>177</v>
      </c>
      <c r="F149" t="s">
        <v>30</v>
      </c>
      <c r="G149" t="str">
        <f t="shared" si="7"/>
        <v>Campaign</v>
      </c>
      <c r="H149">
        <v>2</v>
      </c>
      <c r="I149" s="4">
        <v>0.15</v>
      </c>
      <c r="J149">
        <v>190.91</v>
      </c>
      <c r="K149" s="6">
        <v>94.83</v>
      </c>
      <c r="L149" s="8">
        <f t="shared" si="8"/>
        <v>0.49672620606568541</v>
      </c>
    </row>
    <row r="150" spans="1:12" x14ac:dyDescent="0.2">
      <c r="A150" t="s">
        <v>311</v>
      </c>
      <c r="B150" s="1" t="d">
        <v>2025-06-06</v>
      </c>
      <c r="C150" s="1" t="str">
        <f t="shared" si="6"/>
        <v>June 2025</v>
      </c>
      <c r="D150" t="s">
        <v>312</v>
      </c>
      <c r="E150" t="s">
        <v>193</v>
      </c>
      <c r="F150" t="s">
        <v>109</v>
      </c>
      <c r="G150" t="str">
        <f t="shared" si="7"/>
        <v>Campaign</v>
      </c>
      <c r="H150">
        <v>2</v>
      </c>
      <c r="I150" s="4">
        <v>0.3</v>
      </c>
      <c r="J150">
        <v>464.72</v>
      </c>
      <c r="K150" s="6">
        <v>54.46</v>
      </c>
      <c r="L150" s="8">
        <f t="shared" si="8"/>
        <v>0.11718884489585125</v>
      </c>
    </row>
    <row r="151" spans="1:12" x14ac:dyDescent="0.2">
      <c r="A151" t="s">
        <v>313</v>
      </c>
      <c r="B151" s="1" t="d">
        <v>2024-09-30</v>
      </c>
      <c r="C151" s="1" t="str">
        <f t="shared" si="6"/>
        <v>September 2024</v>
      </c>
      <c r="D151" t="s">
        <v>285</v>
      </c>
      <c r="E151" t="s">
        <v>58</v>
      </c>
      <c r="F151" t="s">
        <v>1337</v>
      </c>
      <c r="G151" t="str">
        <f t="shared" si="7"/>
        <v>Non-Campaign</v>
      </c>
      <c r="H151">
        <v>5</v>
      </c>
      <c r="I151" s="4">
        <v>0</v>
      </c>
      <c r="J151">
        <v>346</v>
      </c>
      <c r="K151" s="6">
        <v>105.1</v>
      </c>
      <c r="L151" s="8">
        <f t="shared" si="8"/>
        <v>0.30375722543352601</v>
      </c>
    </row>
    <row r="152" spans="1:12" x14ac:dyDescent="0.2">
      <c r="A152" t="s">
        <v>314</v>
      </c>
      <c r="B152" s="1" t="d">
        <v>2025-04-10</v>
      </c>
      <c r="C152" s="1" t="str">
        <f t="shared" si="6"/>
        <v>April 2025</v>
      </c>
      <c r="D152" t="s">
        <v>315</v>
      </c>
      <c r="E152" t="s">
        <v>15</v>
      </c>
      <c r="F152" t="s">
        <v>20</v>
      </c>
      <c r="G152" t="str">
        <f t="shared" si="7"/>
        <v>Campaign</v>
      </c>
      <c r="H152">
        <v>1</v>
      </c>
      <c r="I152" s="4">
        <v>0.2</v>
      </c>
      <c r="J152">
        <v>325.43</v>
      </c>
      <c r="K152" s="6">
        <v>49.12</v>
      </c>
      <c r="L152" s="8">
        <f t="shared" si="8"/>
        <v>0.15093875795101863</v>
      </c>
    </row>
    <row r="153" spans="1:12" x14ac:dyDescent="0.2">
      <c r="A153" t="s">
        <v>316</v>
      </c>
      <c r="B153" s="1" t="d">
        <v>2025-06-14</v>
      </c>
      <c r="C153" s="1" t="str">
        <f t="shared" si="6"/>
        <v>June 2025</v>
      </c>
      <c r="D153" t="s">
        <v>317</v>
      </c>
      <c r="E153" t="s">
        <v>11</v>
      </c>
      <c r="F153" t="s">
        <v>12</v>
      </c>
      <c r="G153" t="str">
        <f t="shared" si="7"/>
        <v>Campaign</v>
      </c>
      <c r="H153">
        <v>2</v>
      </c>
      <c r="I153" s="4">
        <v>0.3</v>
      </c>
      <c r="J153">
        <v>283.44</v>
      </c>
      <c r="K153" s="6">
        <v>48.04</v>
      </c>
      <c r="L153" s="8">
        <f t="shared" si="8"/>
        <v>0.16948913350268136</v>
      </c>
    </row>
    <row r="154" spans="1:12" x14ac:dyDescent="0.2">
      <c r="A154" t="s">
        <v>318</v>
      </c>
      <c r="B154" s="1" t="d">
        <v>2024-09-05</v>
      </c>
      <c r="C154" s="1" t="str">
        <f t="shared" si="6"/>
        <v>September 2024</v>
      </c>
      <c r="D154" t="s">
        <v>40</v>
      </c>
      <c r="E154" t="s">
        <v>177</v>
      </c>
      <c r="F154" t="s">
        <v>1337</v>
      </c>
      <c r="G154" t="str">
        <f t="shared" si="7"/>
        <v>Non-Campaign</v>
      </c>
      <c r="H154">
        <v>2</v>
      </c>
      <c r="I154" s="4">
        <v>0.2</v>
      </c>
      <c r="J154">
        <v>179.68</v>
      </c>
      <c r="K154" s="6">
        <v>83.6</v>
      </c>
      <c r="L154" s="8">
        <f t="shared" si="8"/>
        <v>0.46527159394479067</v>
      </c>
    </row>
    <row r="155" spans="1:12" x14ac:dyDescent="0.2">
      <c r="A155" t="s">
        <v>319</v>
      </c>
      <c r="B155" s="1" t="d">
        <v>2024-12-05</v>
      </c>
      <c r="C155" s="1" t="str">
        <f t="shared" si="6"/>
        <v>December 2024</v>
      </c>
      <c r="D155" t="s">
        <v>281</v>
      </c>
      <c r="E155" t="s">
        <v>47</v>
      </c>
      <c r="F155" t="s">
        <v>12</v>
      </c>
      <c r="G155" t="str">
        <f t="shared" si="7"/>
        <v>Campaign</v>
      </c>
      <c r="H155">
        <v>2</v>
      </c>
      <c r="I155" s="4">
        <v>0.2</v>
      </c>
      <c r="J155">
        <v>480.96</v>
      </c>
      <c r="K155" s="6">
        <v>24.58</v>
      </c>
      <c r="L155" s="8">
        <f t="shared" si="8"/>
        <v>5.1106121091151029E-2</v>
      </c>
    </row>
    <row r="156" spans="1:12" x14ac:dyDescent="0.2">
      <c r="A156" t="s">
        <v>320</v>
      </c>
      <c r="B156" s="1" t="d">
        <v>2025-06-03</v>
      </c>
      <c r="C156" s="1" t="str">
        <f t="shared" si="6"/>
        <v>June 2025</v>
      </c>
      <c r="D156" t="s">
        <v>321</v>
      </c>
      <c r="E156" t="s">
        <v>103</v>
      </c>
      <c r="F156" t="s">
        <v>1337</v>
      </c>
      <c r="G156" t="str">
        <f t="shared" si="7"/>
        <v>Non-Campaign</v>
      </c>
      <c r="H156">
        <v>5</v>
      </c>
      <c r="I156" s="4">
        <v>0.2</v>
      </c>
      <c r="J156">
        <v>378.52</v>
      </c>
      <c r="K156" s="6">
        <v>8.1199999999999992</v>
      </c>
      <c r="L156" s="8">
        <f t="shared" si="8"/>
        <v>2.1451970833773645E-2</v>
      </c>
    </row>
    <row r="157" spans="1:12" x14ac:dyDescent="0.2">
      <c r="A157" t="s">
        <v>322</v>
      </c>
      <c r="B157" s="1" t="d">
        <v>2024-10-18</v>
      </c>
      <c r="C157" s="1" t="str">
        <f t="shared" si="6"/>
        <v>October 2024</v>
      </c>
      <c r="D157" t="s">
        <v>77</v>
      </c>
      <c r="E157" t="s">
        <v>103</v>
      </c>
      <c r="F157" t="s">
        <v>109</v>
      </c>
      <c r="G157" t="str">
        <f t="shared" si="7"/>
        <v>Campaign</v>
      </c>
      <c r="H157">
        <v>2</v>
      </c>
      <c r="I157" s="4">
        <v>0.3</v>
      </c>
      <c r="J157">
        <v>132.47999999999999</v>
      </c>
      <c r="K157" s="6">
        <v>-15.68</v>
      </c>
      <c r="L157" s="8">
        <f t="shared" si="8"/>
        <v>-0.11835748792270533</v>
      </c>
    </row>
    <row r="158" spans="1:12" x14ac:dyDescent="0.2">
      <c r="A158" t="s">
        <v>323</v>
      </c>
      <c r="B158" s="1" t="d">
        <v>2025-03-22</v>
      </c>
      <c r="C158" s="1" t="str">
        <f t="shared" si="6"/>
        <v>March 2025</v>
      </c>
      <c r="D158" t="s">
        <v>324</v>
      </c>
      <c r="E158" t="s">
        <v>103</v>
      </c>
      <c r="F158" t="s">
        <v>1337</v>
      </c>
      <c r="G158" t="str">
        <f t="shared" si="7"/>
        <v>Non-Campaign</v>
      </c>
      <c r="H158">
        <v>3</v>
      </c>
      <c r="I158" s="4">
        <v>0.1</v>
      </c>
      <c r="J158">
        <v>255.5</v>
      </c>
      <c r="K158" s="6">
        <v>33.26</v>
      </c>
      <c r="L158" s="8">
        <f t="shared" si="8"/>
        <v>0.13017612524461838</v>
      </c>
    </row>
    <row r="159" spans="1:12" x14ac:dyDescent="0.2">
      <c r="A159" t="s">
        <v>325</v>
      </c>
      <c r="B159" s="1" t="d">
        <v>2025-02-06</v>
      </c>
      <c r="C159" s="1" t="str">
        <f t="shared" si="6"/>
        <v>February 2025</v>
      </c>
      <c r="D159" t="s">
        <v>326</v>
      </c>
      <c r="E159" t="s">
        <v>50</v>
      </c>
      <c r="F159" t="s">
        <v>16</v>
      </c>
      <c r="G159" t="str">
        <f t="shared" si="7"/>
        <v>Campaign</v>
      </c>
      <c r="H159">
        <v>4</v>
      </c>
      <c r="I159" s="4">
        <v>0.2</v>
      </c>
      <c r="J159">
        <v>1183.94</v>
      </c>
      <c r="K159" s="6">
        <v>495.26</v>
      </c>
      <c r="L159" s="8">
        <f t="shared" si="8"/>
        <v>0.41831511732013443</v>
      </c>
    </row>
    <row r="160" spans="1:12" x14ac:dyDescent="0.2">
      <c r="A160" t="s">
        <v>327</v>
      </c>
      <c r="B160" s="1" t="d">
        <v>2025-06-24</v>
      </c>
      <c r="C160" s="1" t="str">
        <f t="shared" si="6"/>
        <v>June 2025</v>
      </c>
      <c r="D160" t="s">
        <v>181</v>
      </c>
      <c r="E160" t="s">
        <v>58</v>
      </c>
      <c r="F160" t="s">
        <v>1337</v>
      </c>
      <c r="G160" t="str">
        <f t="shared" si="7"/>
        <v>Non-Campaign</v>
      </c>
      <c r="H160">
        <v>4</v>
      </c>
      <c r="I160" s="4">
        <v>0.2</v>
      </c>
      <c r="J160">
        <v>221.44</v>
      </c>
      <c r="K160" s="6">
        <v>28.72</v>
      </c>
      <c r="L160" s="8">
        <f t="shared" si="8"/>
        <v>0.12969653179190752</v>
      </c>
    </row>
    <row r="161" spans="1:12" x14ac:dyDescent="0.2">
      <c r="A161" t="s">
        <v>328</v>
      </c>
      <c r="B161" s="1" t="d">
        <v>2024-10-22</v>
      </c>
      <c r="C161" s="1" t="str">
        <f t="shared" si="6"/>
        <v>October 2024</v>
      </c>
      <c r="D161" t="s">
        <v>202</v>
      </c>
      <c r="E161" t="s">
        <v>53</v>
      </c>
      <c r="F161" t="s">
        <v>1337</v>
      </c>
      <c r="G161" t="str">
        <f t="shared" si="7"/>
        <v>Non-Campaign</v>
      </c>
      <c r="H161">
        <v>4</v>
      </c>
      <c r="I161" s="4">
        <v>0.05</v>
      </c>
      <c r="J161">
        <v>1271.52</v>
      </c>
      <c r="K161" s="6">
        <v>524.32000000000005</v>
      </c>
      <c r="L161" s="8">
        <f t="shared" si="8"/>
        <v>0.41235686422549395</v>
      </c>
    </row>
    <row r="162" spans="1:12" x14ac:dyDescent="0.2">
      <c r="A162" t="s">
        <v>329</v>
      </c>
      <c r="B162" s="1" t="d">
        <v>2024-08-31</v>
      </c>
      <c r="C162" s="1" t="str">
        <f t="shared" si="6"/>
        <v>August 2024</v>
      </c>
      <c r="D162" t="s">
        <v>204</v>
      </c>
      <c r="E162" t="s">
        <v>177</v>
      </c>
      <c r="F162" t="s">
        <v>16</v>
      </c>
      <c r="G162" t="str">
        <f t="shared" si="7"/>
        <v>Campaign</v>
      </c>
      <c r="H162">
        <v>5</v>
      </c>
      <c r="I162" s="4">
        <v>0.15</v>
      </c>
      <c r="J162">
        <v>477.28</v>
      </c>
      <c r="K162" s="6">
        <v>237.08</v>
      </c>
      <c r="L162" s="8">
        <f t="shared" si="8"/>
        <v>0.49673147837747239</v>
      </c>
    </row>
    <row r="163" spans="1:12" x14ac:dyDescent="0.2">
      <c r="A163" t="s">
        <v>330</v>
      </c>
      <c r="B163" s="1" t="d">
        <v>2024-09-12</v>
      </c>
      <c r="C163" s="1" t="str">
        <f t="shared" si="6"/>
        <v>September 2024</v>
      </c>
      <c r="D163" t="s">
        <v>315</v>
      </c>
      <c r="E163" t="s">
        <v>65</v>
      </c>
      <c r="F163" t="s">
        <v>30</v>
      </c>
      <c r="G163" t="str">
        <f t="shared" si="7"/>
        <v>Campaign</v>
      </c>
      <c r="H163">
        <v>3</v>
      </c>
      <c r="I163" s="4">
        <v>0.3</v>
      </c>
      <c r="J163">
        <v>203.26</v>
      </c>
      <c r="K163" s="6">
        <v>8.08</v>
      </c>
      <c r="L163" s="8">
        <f t="shared" si="8"/>
        <v>3.9752041719964583E-2</v>
      </c>
    </row>
    <row r="164" spans="1:12" x14ac:dyDescent="0.2">
      <c r="A164" t="s">
        <v>331</v>
      </c>
      <c r="B164" s="1" t="d">
        <v>2025-06-15</v>
      </c>
      <c r="C164" s="1" t="str">
        <f t="shared" si="6"/>
        <v>June 2025</v>
      </c>
      <c r="D164" t="s">
        <v>332</v>
      </c>
      <c r="E164" t="s">
        <v>119</v>
      </c>
      <c r="F164" t="s">
        <v>1337</v>
      </c>
      <c r="G164" t="str">
        <f t="shared" si="7"/>
        <v>Non-Campaign</v>
      </c>
      <c r="H164">
        <v>1</v>
      </c>
      <c r="I164" s="4">
        <v>0.2</v>
      </c>
      <c r="J164">
        <v>100.22</v>
      </c>
      <c r="K164" s="6">
        <v>0.13</v>
      </c>
      <c r="L164" s="8">
        <f t="shared" si="8"/>
        <v>1.2971462781879864E-3</v>
      </c>
    </row>
    <row r="165" spans="1:12" x14ac:dyDescent="0.2">
      <c r="A165" t="s">
        <v>333</v>
      </c>
      <c r="B165" s="1" t="d">
        <v>2024-11-07</v>
      </c>
      <c r="C165" s="1" t="str">
        <f t="shared" si="6"/>
        <v>November 2024</v>
      </c>
      <c r="D165" t="s">
        <v>334</v>
      </c>
      <c r="E165" t="s">
        <v>19</v>
      </c>
      <c r="F165" t="s">
        <v>16</v>
      </c>
      <c r="G165" t="str">
        <f t="shared" si="7"/>
        <v>Campaign</v>
      </c>
      <c r="H165">
        <v>4</v>
      </c>
      <c r="I165" s="4">
        <v>0.05</v>
      </c>
      <c r="J165">
        <v>603.86</v>
      </c>
      <c r="K165" s="6">
        <v>329.3</v>
      </c>
      <c r="L165" s="8">
        <f t="shared" si="8"/>
        <v>0.54532507534859076</v>
      </c>
    </row>
    <row r="166" spans="1:12" x14ac:dyDescent="0.2">
      <c r="A166" t="s">
        <v>335</v>
      </c>
      <c r="B166" s="1" t="d">
        <v>2025-01-25</v>
      </c>
      <c r="C166" s="1" t="str">
        <f t="shared" si="6"/>
        <v>January 2025</v>
      </c>
      <c r="D166" t="s">
        <v>336</v>
      </c>
      <c r="E166" t="s">
        <v>15</v>
      </c>
      <c r="F166" t="s">
        <v>1337</v>
      </c>
      <c r="G166" t="str">
        <f t="shared" si="7"/>
        <v>Non-Campaign</v>
      </c>
      <c r="H166">
        <v>1</v>
      </c>
      <c r="I166" s="4">
        <v>0.15</v>
      </c>
      <c r="J166">
        <v>345.77</v>
      </c>
      <c r="K166" s="6">
        <v>69.459999999999994</v>
      </c>
      <c r="L166" s="8">
        <f t="shared" si="8"/>
        <v>0.20088498134598143</v>
      </c>
    </row>
    <row r="167" spans="1:12" x14ac:dyDescent="0.2">
      <c r="A167" t="s">
        <v>337</v>
      </c>
      <c r="B167" s="1" t="d">
        <v>2025-06-25</v>
      </c>
      <c r="C167" s="1" t="str">
        <f t="shared" si="6"/>
        <v>June 2025</v>
      </c>
      <c r="D167" t="s">
        <v>338</v>
      </c>
      <c r="E167" t="s">
        <v>26</v>
      </c>
      <c r="F167" t="s">
        <v>30</v>
      </c>
      <c r="G167" t="str">
        <f t="shared" si="7"/>
        <v>Campaign</v>
      </c>
      <c r="H167">
        <v>1</v>
      </c>
      <c r="I167" s="4">
        <v>0.1</v>
      </c>
      <c r="J167">
        <v>200.27</v>
      </c>
      <c r="K167" s="6">
        <v>108.61</v>
      </c>
      <c r="L167" s="8">
        <f t="shared" si="8"/>
        <v>0.5423178708743196</v>
      </c>
    </row>
    <row r="168" spans="1:12" x14ac:dyDescent="0.2">
      <c r="A168" t="s">
        <v>339</v>
      </c>
      <c r="B168" s="1" t="d">
        <v>2024-09-09</v>
      </c>
      <c r="C168" s="1" t="str">
        <f t="shared" si="6"/>
        <v>September 2024</v>
      </c>
      <c r="D168" t="s">
        <v>340</v>
      </c>
      <c r="E168" t="s">
        <v>96</v>
      </c>
      <c r="F168" t="s">
        <v>12</v>
      </c>
      <c r="G168" t="str">
        <f t="shared" si="7"/>
        <v>Campaign</v>
      </c>
      <c r="H168">
        <v>1</v>
      </c>
      <c r="I168" s="4">
        <v>0.05</v>
      </c>
      <c r="J168">
        <v>49.18</v>
      </c>
      <c r="K168" s="6">
        <v>9.56</v>
      </c>
      <c r="L168" s="8">
        <f t="shared" si="8"/>
        <v>0.19438796258641725</v>
      </c>
    </row>
    <row r="169" spans="1:12" x14ac:dyDescent="0.2">
      <c r="A169" t="s">
        <v>341</v>
      </c>
      <c r="B169" s="1" t="d">
        <v>2024-10-08</v>
      </c>
      <c r="C169" s="1" t="str">
        <f t="shared" si="6"/>
        <v>October 2024</v>
      </c>
      <c r="D169" t="s">
        <v>342</v>
      </c>
      <c r="E169" t="s">
        <v>15</v>
      </c>
      <c r="F169" t="s">
        <v>1337</v>
      </c>
      <c r="G169" t="str">
        <f t="shared" si="7"/>
        <v>Non-Campaign</v>
      </c>
      <c r="H169">
        <v>2</v>
      </c>
      <c r="I169" s="4">
        <v>0.1</v>
      </c>
      <c r="J169">
        <v>732.22</v>
      </c>
      <c r="K169" s="6">
        <v>179.6</v>
      </c>
      <c r="L169" s="8">
        <f t="shared" si="8"/>
        <v>0.24528147278140447</v>
      </c>
    </row>
    <row r="170" spans="1:12" x14ac:dyDescent="0.2">
      <c r="A170" t="s">
        <v>343</v>
      </c>
      <c r="B170" s="1" t="d">
        <v>2025-03-08</v>
      </c>
      <c r="C170" s="1" t="str">
        <f t="shared" si="6"/>
        <v>March 2025</v>
      </c>
      <c r="D170" t="s">
        <v>145</v>
      </c>
      <c r="E170" t="s">
        <v>138</v>
      </c>
      <c r="F170" t="s">
        <v>12</v>
      </c>
      <c r="G170" t="str">
        <f t="shared" si="7"/>
        <v>Campaign</v>
      </c>
      <c r="H170">
        <v>2</v>
      </c>
      <c r="I170" s="4">
        <v>0.05</v>
      </c>
      <c r="J170">
        <v>823.02</v>
      </c>
      <c r="K170" s="6">
        <v>472.5</v>
      </c>
      <c r="L170" s="8">
        <f t="shared" si="8"/>
        <v>0.57410512502733835</v>
      </c>
    </row>
    <row r="171" spans="1:12" x14ac:dyDescent="0.2">
      <c r="A171" t="s">
        <v>344</v>
      </c>
      <c r="B171" s="1" t="d">
        <v>2024-10-03</v>
      </c>
      <c r="C171" s="1" t="str">
        <f t="shared" si="6"/>
        <v>October 2024</v>
      </c>
      <c r="D171" t="s">
        <v>192</v>
      </c>
      <c r="E171" t="s">
        <v>85</v>
      </c>
      <c r="F171" t="s">
        <v>1337</v>
      </c>
      <c r="G171" t="str">
        <f t="shared" si="7"/>
        <v>Non-Campaign</v>
      </c>
      <c r="H171">
        <v>2</v>
      </c>
      <c r="I171" s="4">
        <v>0.3</v>
      </c>
      <c r="J171">
        <v>206</v>
      </c>
      <c r="K171" s="6">
        <v>59.26</v>
      </c>
      <c r="L171" s="8">
        <f t="shared" si="8"/>
        <v>0.28766990291262134</v>
      </c>
    </row>
    <row r="172" spans="1:12" x14ac:dyDescent="0.2">
      <c r="A172" t="s">
        <v>345</v>
      </c>
      <c r="B172" s="1" t="d">
        <v>2025-05-08</v>
      </c>
      <c r="C172" s="1" t="str">
        <f t="shared" si="6"/>
        <v>May 2025</v>
      </c>
      <c r="D172" t="s">
        <v>218</v>
      </c>
      <c r="E172" t="s">
        <v>177</v>
      </c>
      <c r="F172" t="s">
        <v>30</v>
      </c>
      <c r="G172" t="str">
        <f t="shared" si="7"/>
        <v>Campaign</v>
      </c>
      <c r="H172">
        <v>5</v>
      </c>
      <c r="I172" s="4">
        <v>0.1</v>
      </c>
      <c r="J172">
        <v>505.35</v>
      </c>
      <c r="K172" s="6">
        <v>265.14999999999998</v>
      </c>
      <c r="L172" s="8">
        <f t="shared" si="8"/>
        <v>0.52468586128425831</v>
      </c>
    </row>
    <row r="173" spans="1:12" x14ac:dyDescent="0.2">
      <c r="A173" t="s">
        <v>346</v>
      </c>
      <c r="B173" s="1" t="d">
        <v>2024-10-23</v>
      </c>
      <c r="C173" s="1" t="str">
        <f t="shared" si="6"/>
        <v>October 2024</v>
      </c>
      <c r="D173" t="s">
        <v>347</v>
      </c>
      <c r="E173" t="s">
        <v>177</v>
      </c>
      <c r="F173" t="s">
        <v>1337</v>
      </c>
      <c r="G173" t="str">
        <f t="shared" si="7"/>
        <v>Non-Campaign</v>
      </c>
      <c r="H173">
        <v>5</v>
      </c>
      <c r="I173" s="4">
        <v>0.3</v>
      </c>
      <c r="J173">
        <v>393.05</v>
      </c>
      <c r="K173" s="6">
        <v>152.85</v>
      </c>
      <c r="L173" s="8">
        <f t="shared" si="8"/>
        <v>0.3888818216511894</v>
      </c>
    </row>
    <row r="174" spans="1:12" x14ac:dyDescent="0.2">
      <c r="A174" t="s">
        <v>348</v>
      </c>
      <c r="B174" s="1" t="d">
        <v>2025-05-10</v>
      </c>
      <c r="C174" s="1" t="str">
        <f t="shared" si="6"/>
        <v>May 2025</v>
      </c>
      <c r="D174" t="s">
        <v>349</v>
      </c>
      <c r="E174" t="s">
        <v>80</v>
      </c>
      <c r="F174" t="s">
        <v>109</v>
      </c>
      <c r="G174" t="str">
        <f t="shared" si="7"/>
        <v>Campaign</v>
      </c>
      <c r="H174">
        <v>3</v>
      </c>
      <c r="I174" s="4">
        <v>0.2</v>
      </c>
      <c r="J174">
        <v>352.73</v>
      </c>
      <c r="K174" s="6">
        <v>168.71</v>
      </c>
      <c r="L174" s="8">
        <f t="shared" si="8"/>
        <v>0.47829784821251381</v>
      </c>
    </row>
    <row r="175" spans="1:12" x14ac:dyDescent="0.2">
      <c r="A175" t="s">
        <v>350</v>
      </c>
      <c r="B175" s="1" t="d">
        <v>2025-05-25</v>
      </c>
      <c r="C175" s="1" t="str">
        <f t="shared" si="6"/>
        <v>May 2025</v>
      </c>
      <c r="D175" t="s">
        <v>351</v>
      </c>
      <c r="E175" t="s">
        <v>11</v>
      </c>
      <c r="F175" t="s">
        <v>20</v>
      </c>
      <c r="G175" t="str">
        <f t="shared" si="7"/>
        <v>Campaign</v>
      </c>
      <c r="H175">
        <v>4</v>
      </c>
      <c r="I175" s="4">
        <v>0.1</v>
      </c>
      <c r="J175">
        <v>728.86</v>
      </c>
      <c r="K175" s="6">
        <v>258.06</v>
      </c>
      <c r="L175" s="8">
        <f t="shared" si="8"/>
        <v>0.35405976456383942</v>
      </c>
    </row>
    <row r="176" spans="1:12" x14ac:dyDescent="0.2">
      <c r="A176" t="s">
        <v>352</v>
      </c>
      <c r="B176" s="1" t="d">
        <v>2024-11-27</v>
      </c>
      <c r="C176" s="1" t="str">
        <f t="shared" si="6"/>
        <v>November 2024</v>
      </c>
      <c r="D176" t="s">
        <v>218</v>
      </c>
      <c r="E176" t="s">
        <v>44</v>
      </c>
      <c r="F176" t="s">
        <v>1337</v>
      </c>
      <c r="G176" t="str">
        <f t="shared" si="7"/>
        <v>Non-Campaign</v>
      </c>
      <c r="H176">
        <v>4</v>
      </c>
      <c r="I176" s="4">
        <v>0</v>
      </c>
      <c r="J176">
        <v>642.91999999999996</v>
      </c>
      <c r="K176" s="6">
        <v>224.08</v>
      </c>
      <c r="L176" s="8">
        <f t="shared" si="8"/>
        <v>0.34853480992969582</v>
      </c>
    </row>
    <row r="177" spans="1:12" x14ac:dyDescent="0.2">
      <c r="A177" t="s">
        <v>353</v>
      </c>
      <c r="B177" s="1" t="d">
        <v>2025-02-02</v>
      </c>
      <c r="C177" s="1" t="str">
        <f t="shared" si="6"/>
        <v>February 2025</v>
      </c>
      <c r="D177" t="s">
        <v>354</v>
      </c>
      <c r="E177" t="s">
        <v>65</v>
      </c>
      <c r="F177" t="s">
        <v>30</v>
      </c>
      <c r="G177" t="str">
        <f t="shared" si="7"/>
        <v>Campaign</v>
      </c>
      <c r="H177">
        <v>2</v>
      </c>
      <c r="I177" s="4">
        <v>0</v>
      </c>
      <c r="J177">
        <v>193.58</v>
      </c>
      <c r="K177" s="6">
        <v>63.46</v>
      </c>
      <c r="L177" s="8">
        <f t="shared" si="8"/>
        <v>0.32782312222337018</v>
      </c>
    </row>
    <row r="178" spans="1:12" x14ac:dyDescent="0.2">
      <c r="A178" t="s">
        <v>355</v>
      </c>
      <c r="B178" s="1" t="d">
        <v>2024-09-02</v>
      </c>
      <c r="C178" s="1" t="str">
        <f t="shared" si="6"/>
        <v>September 2024</v>
      </c>
      <c r="D178" t="s">
        <v>269</v>
      </c>
      <c r="E178" t="s">
        <v>50</v>
      </c>
      <c r="F178" t="s">
        <v>1337</v>
      </c>
      <c r="G178" t="str">
        <f t="shared" si="7"/>
        <v>Non-Campaign</v>
      </c>
      <c r="H178">
        <v>3</v>
      </c>
      <c r="I178" s="4">
        <v>0.05</v>
      </c>
      <c r="J178">
        <v>1054.44</v>
      </c>
      <c r="K178" s="6">
        <v>537.92999999999995</v>
      </c>
      <c r="L178" s="8">
        <f t="shared" si="8"/>
        <v>0.51015705018777735</v>
      </c>
    </row>
    <row r="179" spans="1:12" x14ac:dyDescent="0.2">
      <c r="A179" t="s">
        <v>356</v>
      </c>
      <c r="B179" s="1" t="d">
        <v>2025-05-15</v>
      </c>
      <c r="C179" s="1" t="str">
        <f t="shared" si="6"/>
        <v>May 2025</v>
      </c>
      <c r="D179" t="s">
        <v>143</v>
      </c>
      <c r="E179" t="s">
        <v>165</v>
      </c>
      <c r="F179" t="s">
        <v>30</v>
      </c>
      <c r="G179" t="str">
        <f t="shared" si="7"/>
        <v>Campaign</v>
      </c>
      <c r="H179">
        <v>4</v>
      </c>
      <c r="I179" s="4">
        <v>0.2</v>
      </c>
      <c r="J179">
        <v>255.74</v>
      </c>
      <c r="K179" s="6">
        <v>9.94</v>
      </c>
      <c r="L179" s="8">
        <f t="shared" si="8"/>
        <v>3.8867599906154682E-2</v>
      </c>
    </row>
    <row r="180" spans="1:12" x14ac:dyDescent="0.2">
      <c r="A180" t="s">
        <v>357</v>
      </c>
      <c r="B180" s="1" t="d">
        <v>2025-02-19</v>
      </c>
      <c r="C180" s="1" t="str">
        <f t="shared" si="6"/>
        <v>February 2025</v>
      </c>
      <c r="D180" t="s">
        <v>358</v>
      </c>
      <c r="E180" t="s">
        <v>106</v>
      </c>
      <c r="F180" t="s">
        <v>1337</v>
      </c>
      <c r="G180" t="str">
        <f t="shared" si="7"/>
        <v>Non-Campaign</v>
      </c>
      <c r="H180">
        <v>3</v>
      </c>
      <c r="I180" s="4">
        <v>0.15</v>
      </c>
      <c r="J180">
        <v>504.11</v>
      </c>
      <c r="K180" s="6">
        <v>217.19</v>
      </c>
      <c r="L180" s="8">
        <f t="shared" si="8"/>
        <v>0.43083850746860802</v>
      </c>
    </row>
    <row r="181" spans="1:12" x14ac:dyDescent="0.2">
      <c r="A181" t="s">
        <v>359</v>
      </c>
      <c r="B181" s="1" t="d">
        <v>2024-10-26</v>
      </c>
      <c r="C181" s="1" t="str">
        <f t="shared" si="6"/>
        <v>October 2024</v>
      </c>
      <c r="D181" t="s">
        <v>360</v>
      </c>
      <c r="E181" t="s">
        <v>11</v>
      </c>
      <c r="F181" t="s">
        <v>16</v>
      </c>
      <c r="G181" t="str">
        <f t="shared" si="7"/>
        <v>Campaign</v>
      </c>
      <c r="H181">
        <v>3</v>
      </c>
      <c r="I181" s="4">
        <v>0.05</v>
      </c>
      <c r="J181">
        <v>577.01</v>
      </c>
      <c r="K181" s="6">
        <v>223.91</v>
      </c>
      <c r="L181" s="8">
        <f t="shared" si="8"/>
        <v>0.38805220013517966</v>
      </c>
    </row>
    <row r="182" spans="1:12" x14ac:dyDescent="0.2">
      <c r="A182" t="s">
        <v>361</v>
      </c>
      <c r="B182" s="1" t="d">
        <v>2024-09-03</v>
      </c>
      <c r="C182" s="1" t="str">
        <f t="shared" si="6"/>
        <v>September 2024</v>
      </c>
      <c r="D182" t="s">
        <v>267</v>
      </c>
      <c r="E182" t="s">
        <v>85</v>
      </c>
      <c r="F182" t="s">
        <v>1337</v>
      </c>
      <c r="G182" t="str">
        <f t="shared" si="7"/>
        <v>Non-Campaign</v>
      </c>
      <c r="H182">
        <v>2</v>
      </c>
      <c r="I182" s="4">
        <v>0.2</v>
      </c>
      <c r="J182">
        <v>235.42</v>
      </c>
      <c r="K182" s="6">
        <v>88.68</v>
      </c>
      <c r="L182" s="8">
        <f t="shared" si="8"/>
        <v>0.37668847166765784</v>
      </c>
    </row>
    <row r="183" spans="1:12" x14ac:dyDescent="0.2">
      <c r="A183" t="s">
        <v>362</v>
      </c>
      <c r="B183" s="1" t="d">
        <v>2024-09-24</v>
      </c>
      <c r="C183" s="1" t="str">
        <f t="shared" si="6"/>
        <v>September 2024</v>
      </c>
      <c r="D183" t="s">
        <v>158</v>
      </c>
      <c r="E183" t="s">
        <v>38</v>
      </c>
      <c r="F183" t="s">
        <v>12</v>
      </c>
      <c r="G183" t="str">
        <f t="shared" si="7"/>
        <v>Campaign</v>
      </c>
      <c r="H183">
        <v>1</v>
      </c>
      <c r="I183" s="4">
        <v>0.3</v>
      </c>
      <c r="J183">
        <v>328.71</v>
      </c>
      <c r="K183" s="6">
        <v>19.149999999999999</v>
      </c>
      <c r="L183" s="8">
        <f t="shared" si="8"/>
        <v>5.8258039000943077E-2</v>
      </c>
    </row>
    <row r="184" spans="1:12" x14ac:dyDescent="0.2">
      <c r="A184" t="s">
        <v>363</v>
      </c>
      <c r="B184" s="1" t="d">
        <v>2025-01-07</v>
      </c>
      <c r="C184" s="1" t="str">
        <f t="shared" si="6"/>
        <v>January 2025</v>
      </c>
      <c r="D184" t="s">
        <v>64</v>
      </c>
      <c r="E184" t="s">
        <v>47</v>
      </c>
      <c r="F184" t="s">
        <v>12</v>
      </c>
      <c r="G184" t="str">
        <f t="shared" si="7"/>
        <v>Campaign</v>
      </c>
      <c r="H184">
        <v>4</v>
      </c>
      <c r="I184" s="4">
        <v>0.05</v>
      </c>
      <c r="J184">
        <v>1142.28</v>
      </c>
      <c r="K184" s="6">
        <v>229.52</v>
      </c>
      <c r="L184" s="8">
        <f t="shared" si="8"/>
        <v>0.20093147039254824</v>
      </c>
    </row>
    <row r="185" spans="1:12" x14ac:dyDescent="0.2">
      <c r="A185" t="s">
        <v>364</v>
      </c>
      <c r="B185" s="1" t="d">
        <v>2024-10-22</v>
      </c>
      <c r="C185" s="1" t="str">
        <f t="shared" si="6"/>
        <v>October 2024</v>
      </c>
      <c r="D185" t="s">
        <v>365</v>
      </c>
      <c r="E185" t="s">
        <v>26</v>
      </c>
      <c r="F185" t="s">
        <v>16</v>
      </c>
      <c r="G185" t="str">
        <f t="shared" si="7"/>
        <v>Campaign</v>
      </c>
      <c r="H185">
        <v>1</v>
      </c>
      <c r="I185" s="4">
        <v>0.05</v>
      </c>
      <c r="J185">
        <v>211.39</v>
      </c>
      <c r="K185" s="6">
        <v>119.73</v>
      </c>
      <c r="L185" s="8">
        <f t="shared" si="8"/>
        <v>0.56639386915180479</v>
      </c>
    </row>
    <row r="186" spans="1:12" x14ac:dyDescent="0.2">
      <c r="A186" t="s">
        <v>366</v>
      </c>
      <c r="B186" s="1" t="d">
        <v>2024-08-07</v>
      </c>
      <c r="C186" s="1" t="str">
        <f t="shared" si="6"/>
        <v>August 2024</v>
      </c>
      <c r="D186" t="s">
        <v>190</v>
      </c>
      <c r="E186" t="s">
        <v>11</v>
      </c>
      <c r="F186" t="s">
        <v>1337</v>
      </c>
      <c r="G186" t="str">
        <f t="shared" si="7"/>
        <v>Non-Campaign</v>
      </c>
      <c r="H186">
        <v>1</v>
      </c>
      <c r="I186" s="4">
        <v>0.2</v>
      </c>
      <c r="J186">
        <v>161.97</v>
      </c>
      <c r="K186" s="6">
        <v>44.27</v>
      </c>
      <c r="L186" s="8">
        <f t="shared" si="8"/>
        <v>0.27332222016422797</v>
      </c>
    </row>
    <row r="187" spans="1:12" x14ac:dyDescent="0.2">
      <c r="A187" t="s">
        <v>367</v>
      </c>
      <c r="B187" s="1" t="d">
        <v>2024-08-30</v>
      </c>
      <c r="C187" s="1" t="str">
        <f t="shared" si="6"/>
        <v>August 2024</v>
      </c>
      <c r="D187" t="s">
        <v>368</v>
      </c>
      <c r="E187" t="s">
        <v>96</v>
      </c>
      <c r="F187" t="s">
        <v>1337</v>
      </c>
      <c r="G187" t="str">
        <f t="shared" si="7"/>
        <v>Non-Campaign</v>
      </c>
      <c r="H187">
        <v>1</v>
      </c>
      <c r="I187" s="4">
        <v>0</v>
      </c>
      <c r="J187">
        <v>51.77</v>
      </c>
      <c r="K187" s="6">
        <v>12.15</v>
      </c>
      <c r="L187" s="8">
        <f t="shared" si="8"/>
        <v>0.23469190650956151</v>
      </c>
    </row>
    <row r="188" spans="1:12" x14ac:dyDescent="0.2">
      <c r="A188" t="s">
        <v>369</v>
      </c>
      <c r="B188" s="1" t="d">
        <v>2025-06-08</v>
      </c>
      <c r="C188" s="1" t="str">
        <f t="shared" si="6"/>
        <v>June 2025</v>
      </c>
      <c r="D188" t="s">
        <v>206</v>
      </c>
      <c r="E188" t="s">
        <v>50</v>
      </c>
      <c r="F188" t="s">
        <v>1337</v>
      </c>
      <c r="G188" t="str">
        <f t="shared" si="7"/>
        <v>Non-Campaign</v>
      </c>
      <c r="H188">
        <v>1</v>
      </c>
      <c r="I188" s="4">
        <v>0</v>
      </c>
      <c r="J188">
        <v>369.98</v>
      </c>
      <c r="K188" s="6">
        <v>197.81</v>
      </c>
      <c r="L188" s="8">
        <f t="shared" si="8"/>
        <v>0.53465052164981886</v>
      </c>
    </row>
    <row r="189" spans="1:12" x14ac:dyDescent="0.2">
      <c r="A189" t="s">
        <v>370</v>
      </c>
      <c r="B189" s="1" t="d">
        <v>2025-06-20</v>
      </c>
      <c r="C189" s="1" t="str">
        <f t="shared" si="6"/>
        <v>June 2025</v>
      </c>
      <c r="D189" t="s">
        <v>100</v>
      </c>
      <c r="E189" t="s">
        <v>85</v>
      </c>
      <c r="F189" t="s">
        <v>109</v>
      </c>
      <c r="G189" t="str">
        <f t="shared" si="7"/>
        <v>Campaign</v>
      </c>
      <c r="H189">
        <v>5</v>
      </c>
      <c r="I189" s="4">
        <v>0.1</v>
      </c>
      <c r="J189">
        <v>662.13</v>
      </c>
      <c r="K189" s="6">
        <v>295.27999999999997</v>
      </c>
      <c r="L189" s="8">
        <f t="shared" si="8"/>
        <v>0.44595472188240975</v>
      </c>
    </row>
    <row r="190" spans="1:12" x14ac:dyDescent="0.2">
      <c r="A190" t="s">
        <v>371</v>
      </c>
      <c r="B190" s="1" t="d">
        <v>2025-01-17</v>
      </c>
      <c r="C190" s="1" t="str">
        <f t="shared" si="6"/>
        <v>January 2025</v>
      </c>
      <c r="D190" t="s">
        <v>43</v>
      </c>
      <c r="E190" t="s">
        <v>38</v>
      </c>
      <c r="F190" t="s">
        <v>1337</v>
      </c>
      <c r="G190" t="str">
        <f t="shared" si="7"/>
        <v>Non-Campaign</v>
      </c>
      <c r="H190">
        <v>2</v>
      </c>
      <c r="I190" s="4">
        <v>0</v>
      </c>
      <c r="J190">
        <v>939.18</v>
      </c>
      <c r="K190" s="6">
        <v>320.06</v>
      </c>
      <c r="L190" s="8">
        <f t="shared" si="8"/>
        <v>0.34078664366788053</v>
      </c>
    </row>
    <row r="191" spans="1:12" x14ac:dyDescent="0.2">
      <c r="A191" t="s">
        <v>372</v>
      </c>
      <c r="B191" s="1" t="d">
        <v>2025-04-29</v>
      </c>
      <c r="C191" s="1" t="str">
        <f t="shared" si="6"/>
        <v>April 2025</v>
      </c>
      <c r="D191" t="s">
        <v>373</v>
      </c>
      <c r="E191" t="s">
        <v>38</v>
      </c>
      <c r="F191" t="s">
        <v>16</v>
      </c>
      <c r="G191" t="str">
        <f t="shared" si="7"/>
        <v>Campaign</v>
      </c>
      <c r="H191">
        <v>2</v>
      </c>
      <c r="I191" s="4">
        <v>0.05</v>
      </c>
      <c r="J191">
        <v>892.22</v>
      </c>
      <c r="K191" s="6">
        <v>273.10000000000002</v>
      </c>
      <c r="L191" s="8">
        <f t="shared" si="8"/>
        <v>0.30609042612808501</v>
      </c>
    </row>
    <row r="192" spans="1:12" x14ac:dyDescent="0.2">
      <c r="A192" t="s">
        <v>374</v>
      </c>
      <c r="B192" s="1" t="d">
        <v>2024-09-24</v>
      </c>
      <c r="C192" s="1" t="str">
        <f t="shared" si="6"/>
        <v>September 2024</v>
      </c>
      <c r="D192" t="s">
        <v>283</v>
      </c>
      <c r="E192" t="s">
        <v>72</v>
      </c>
      <c r="F192" t="s">
        <v>1337</v>
      </c>
      <c r="G192" t="str">
        <f t="shared" si="7"/>
        <v>Non-Campaign</v>
      </c>
      <c r="H192">
        <v>3</v>
      </c>
      <c r="I192" s="4">
        <v>0.15</v>
      </c>
      <c r="J192">
        <v>164.53</v>
      </c>
      <c r="K192" s="6">
        <v>79.63</v>
      </c>
      <c r="L192" s="8">
        <f t="shared" si="8"/>
        <v>0.48398468364432018</v>
      </c>
    </row>
    <row r="193" spans="1:12" x14ac:dyDescent="0.2">
      <c r="A193" t="s">
        <v>375</v>
      </c>
      <c r="B193" s="1" t="d">
        <v>2025-04-29</v>
      </c>
      <c r="C193" s="1" t="str">
        <f t="shared" si="6"/>
        <v>April 2025</v>
      </c>
      <c r="D193" t="s">
        <v>234</v>
      </c>
      <c r="E193" t="s">
        <v>44</v>
      </c>
      <c r="F193" t="s">
        <v>1337</v>
      </c>
      <c r="G193" t="str">
        <f t="shared" si="7"/>
        <v>Non-Campaign</v>
      </c>
      <c r="H193">
        <v>4</v>
      </c>
      <c r="I193" s="4">
        <v>0.2</v>
      </c>
      <c r="J193">
        <v>514.34</v>
      </c>
      <c r="K193" s="6">
        <v>95.5</v>
      </c>
      <c r="L193" s="8">
        <f t="shared" si="8"/>
        <v>0.18567484543298207</v>
      </c>
    </row>
    <row r="194" spans="1:12" x14ac:dyDescent="0.2">
      <c r="A194" t="s">
        <v>376</v>
      </c>
      <c r="B194" s="1" t="d">
        <v>2025-01-31</v>
      </c>
      <c r="C194" s="1" t="str">
        <f t="shared" ref="C194:C257" si="9">TEXT(B194, "mmmm yyyy")</f>
        <v>January 2025</v>
      </c>
      <c r="D194" t="s">
        <v>214</v>
      </c>
      <c r="E194" t="s">
        <v>53</v>
      </c>
      <c r="F194" t="s">
        <v>30</v>
      </c>
      <c r="G194" t="str">
        <f t="shared" ref="G194:G257" si="10">IF(F194="No Campaign", "Non-Campaign", "Campaign")</f>
        <v>Campaign</v>
      </c>
      <c r="H194">
        <v>3</v>
      </c>
      <c r="I194" s="4">
        <v>0.3</v>
      </c>
      <c r="J194">
        <v>702.68</v>
      </c>
      <c r="K194" s="6">
        <v>142.28</v>
      </c>
      <c r="L194" s="8">
        <f t="shared" ref="L194:L257" si="11">IF(J194=0, 0,K194/J194)</f>
        <v>0.20248192633915865</v>
      </c>
    </row>
    <row r="195" spans="1:12" x14ac:dyDescent="0.2">
      <c r="A195" t="s">
        <v>377</v>
      </c>
      <c r="B195" s="1" t="d">
        <v>2025-05-14</v>
      </c>
      <c r="C195" s="1" t="str">
        <f t="shared" si="9"/>
        <v>May 2025</v>
      </c>
      <c r="D195" t="s">
        <v>378</v>
      </c>
      <c r="E195" t="s">
        <v>41</v>
      </c>
      <c r="F195" t="s">
        <v>12</v>
      </c>
      <c r="G195" t="str">
        <f t="shared" si="10"/>
        <v>Campaign</v>
      </c>
      <c r="H195">
        <v>1</v>
      </c>
      <c r="I195" s="4">
        <v>0.15</v>
      </c>
      <c r="J195">
        <v>352.3</v>
      </c>
      <c r="K195" s="6">
        <v>53.05</v>
      </c>
      <c r="L195" s="8">
        <f t="shared" si="11"/>
        <v>0.15058189043428893</v>
      </c>
    </row>
    <row r="196" spans="1:12" x14ac:dyDescent="0.2">
      <c r="A196" t="s">
        <v>379</v>
      </c>
      <c r="B196" s="1" t="d">
        <v>2025-06-16</v>
      </c>
      <c r="C196" s="1" t="str">
        <f t="shared" si="9"/>
        <v>June 2025</v>
      </c>
      <c r="D196" t="s">
        <v>380</v>
      </c>
      <c r="E196" t="s">
        <v>177</v>
      </c>
      <c r="F196" t="s">
        <v>1337</v>
      </c>
      <c r="G196" t="str">
        <f t="shared" si="10"/>
        <v>Non-Campaign</v>
      </c>
      <c r="H196">
        <v>1</v>
      </c>
      <c r="I196" s="4">
        <v>0.3</v>
      </c>
      <c r="J196">
        <v>78.61</v>
      </c>
      <c r="K196" s="6">
        <v>30.57</v>
      </c>
      <c r="L196" s="8">
        <f t="shared" si="11"/>
        <v>0.3888818216511894</v>
      </c>
    </row>
    <row r="197" spans="1:12" x14ac:dyDescent="0.2">
      <c r="A197" t="s">
        <v>381</v>
      </c>
      <c r="B197" s="1" t="d">
        <v>2025-06-15</v>
      </c>
      <c r="C197" s="1" t="str">
        <f t="shared" si="9"/>
        <v>June 2025</v>
      </c>
      <c r="D197" t="s">
        <v>183</v>
      </c>
      <c r="E197" t="s">
        <v>53</v>
      </c>
      <c r="F197" t="s">
        <v>16</v>
      </c>
      <c r="G197" t="str">
        <f t="shared" si="10"/>
        <v>Campaign</v>
      </c>
      <c r="H197">
        <v>1</v>
      </c>
      <c r="I197" s="4">
        <v>0.15</v>
      </c>
      <c r="J197">
        <v>284.42</v>
      </c>
      <c r="K197" s="6">
        <v>97.62</v>
      </c>
      <c r="L197" s="8">
        <f t="shared" si="11"/>
        <v>0.34322480838197034</v>
      </c>
    </row>
    <row r="198" spans="1:12" x14ac:dyDescent="0.2">
      <c r="A198" t="s">
        <v>382</v>
      </c>
      <c r="B198" s="1" t="d">
        <v>2024-11-18</v>
      </c>
      <c r="C198" s="1" t="str">
        <f t="shared" si="9"/>
        <v>November 2024</v>
      </c>
      <c r="D198" t="s">
        <v>383</v>
      </c>
      <c r="E198" t="s">
        <v>41</v>
      </c>
      <c r="F198" t="s">
        <v>1337</v>
      </c>
      <c r="G198" t="str">
        <f t="shared" si="10"/>
        <v>Non-Campaign</v>
      </c>
      <c r="H198">
        <v>5</v>
      </c>
      <c r="I198" s="4">
        <v>0</v>
      </c>
      <c r="J198">
        <v>2072.35</v>
      </c>
      <c r="K198" s="6">
        <v>576.1</v>
      </c>
      <c r="L198" s="8">
        <f t="shared" si="11"/>
        <v>0.27799358216517484</v>
      </c>
    </row>
    <row r="199" spans="1:12" x14ac:dyDescent="0.2">
      <c r="A199" t="s">
        <v>384</v>
      </c>
      <c r="B199" s="1" t="d">
        <v>2024-12-22</v>
      </c>
      <c r="C199" s="1" t="str">
        <f t="shared" si="9"/>
        <v>December 2024</v>
      </c>
      <c r="D199" t="s">
        <v>18</v>
      </c>
      <c r="E199" t="s">
        <v>138</v>
      </c>
      <c r="F199" t="s">
        <v>12</v>
      </c>
      <c r="G199" t="str">
        <f t="shared" si="10"/>
        <v>Campaign</v>
      </c>
      <c r="H199">
        <v>2</v>
      </c>
      <c r="I199" s="4">
        <v>0.05</v>
      </c>
      <c r="J199">
        <v>823.02</v>
      </c>
      <c r="K199" s="6">
        <v>472.5</v>
      </c>
      <c r="L199" s="8">
        <f t="shared" si="11"/>
        <v>0.57410512502733835</v>
      </c>
    </row>
    <row r="200" spans="1:12" x14ac:dyDescent="0.2">
      <c r="A200" t="s">
        <v>385</v>
      </c>
      <c r="B200" s="1" t="d">
        <v>2025-06-23</v>
      </c>
      <c r="C200" s="1" t="str">
        <f t="shared" si="9"/>
        <v>June 2025</v>
      </c>
      <c r="D200" t="s">
        <v>386</v>
      </c>
      <c r="E200" t="s">
        <v>106</v>
      </c>
      <c r="F200" t="s">
        <v>109</v>
      </c>
      <c r="G200" t="str">
        <f t="shared" si="10"/>
        <v>Campaign</v>
      </c>
      <c r="H200">
        <v>1</v>
      </c>
      <c r="I200" s="4">
        <v>0</v>
      </c>
      <c r="J200">
        <v>197.69</v>
      </c>
      <c r="K200" s="6">
        <v>102.05</v>
      </c>
      <c r="L200" s="8">
        <f t="shared" si="11"/>
        <v>0.51621225150488137</v>
      </c>
    </row>
    <row r="201" spans="1:12" x14ac:dyDescent="0.2">
      <c r="A201" t="s">
        <v>387</v>
      </c>
      <c r="B201" s="1" t="d">
        <v>2025-06-03</v>
      </c>
      <c r="C201" s="1" t="str">
        <f t="shared" si="9"/>
        <v>June 2025</v>
      </c>
      <c r="D201" t="s">
        <v>388</v>
      </c>
      <c r="E201" t="s">
        <v>135</v>
      </c>
      <c r="F201" t="s">
        <v>12</v>
      </c>
      <c r="G201" t="str">
        <f t="shared" si="10"/>
        <v>Campaign</v>
      </c>
      <c r="H201">
        <v>2</v>
      </c>
      <c r="I201" s="4">
        <v>0.1</v>
      </c>
      <c r="J201">
        <v>365.72</v>
      </c>
      <c r="K201" s="6">
        <v>41.26</v>
      </c>
      <c r="L201" s="8">
        <f t="shared" si="11"/>
        <v>0.11281854971016077</v>
      </c>
    </row>
    <row r="202" spans="1:12" x14ac:dyDescent="0.2">
      <c r="A202" t="s">
        <v>389</v>
      </c>
      <c r="B202" s="1" t="d">
        <v>2024-09-21</v>
      </c>
      <c r="C202" s="1" t="str">
        <f t="shared" si="9"/>
        <v>September 2024</v>
      </c>
      <c r="D202" t="s">
        <v>43</v>
      </c>
      <c r="E202" t="s">
        <v>15</v>
      </c>
      <c r="F202" t="s">
        <v>16</v>
      </c>
      <c r="G202" t="str">
        <f t="shared" si="10"/>
        <v>Campaign</v>
      </c>
      <c r="H202">
        <v>4</v>
      </c>
      <c r="I202" s="4">
        <v>0</v>
      </c>
      <c r="J202">
        <v>1627.16</v>
      </c>
      <c r="K202" s="6">
        <v>521.91999999999996</v>
      </c>
      <c r="L202" s="8">
        <f t="shared" si="11"/>
        <v>0.32075518080582116</v>
      </c>
    </row>
    <row r="203" spans="1:12" x14ac:dyDescent="0.2">
      <c r="A203" t="s">
        <v>390</v>
      </c>
      <c r="B203" s="1" t="d">
        <v>2024-12-07</v>
      </c>
      <c r="C203" s="1" t="str">
        <f t="shared" si="9"/>
        <v>December 2024</v>
      </c>
      <c r="D203" t="s">
        <v>204</v>
      </c>
      <c r="E203" t="s">
        <v>35</v>
      </c>
      <c r="F203" t="s">
        <v>30</v>
      </c>
      <c r="G203" t="str">
        <f t="shared" si="10"/>
        <v>Campaign</v>
      </c>
      <c r="H203">
        <v>5</v>
      </c>
      <c r="I203" s="4">
        <v>0.15</v>
      </c>
      <c r="J203">
        <v>1287.1099999999999</v>
      </c>
      <c r="K203" s="6">
        <v>191.16</v>
      </c>
      <c r="L203" s="8">
        <f t="shared" si="11"/>
        <v>0.14851877461910792</v>
      </c>
    </row>
    <row r="204" spans="1:12" x14ac:dyDescent="0.2">
      <c r="A204" t="s">
        <v>391</v>
      </c>
      <c r="B204" s="1" t="d">
        <v>2025-01-13</v>
      </c>
      <c r="C204" s="1" t="str">
        <f t="shared" si="9"/>
        <v>January 2025</v>
      </c>
      <c r="D204" t="s">
        <v>306</v>
      </c>
      <c r="E204" t="s">
        <v>165</v>
      </c>
      <c r="F204" t="s">
        <v>1337</v>
      </c>
      <c r="G204" t="str">
        <f t="shared" si="10"/>
        <v>Non-Campaign</v>
      </c>
      <c r="H204">
        <v>2</v>
      </c>
      <c r="I204" s="4">
        <v>0.3</v>
      </c>
      <c r="J204">
        <v>111.89</v>
      </c>
      <c r="K204" s="6">
        <v>-11.01</v>
      </c>
      <c r="L204" s="8">
        <f t="shared" si="11"/>
        <v>-9.8400214496380367E-2</v>
      </c>
    </row>
    <row r="205" spans="1:12" x14ac:dyDescent="0.2">
      <c r="A205" t="s">
        <v>392</v>
      </c>
      <c r="B205" s="1" t="d">
        <v>2025-01-28</v>
      </c>
      <c r="C205" s="1" t="str">
        <f t="shared" si="9"/>
        <v>January 2025</v>
      </c>
      <c r="D205" t="s">
        <v>234</v>
      </c>
      <c r="E205" t="s">
        <v>38</v>
      </c>
      <c r="F205" t="s">
        <v>1337</v>
      </c>
      <c r="G205" t="str">
        <f t="shared" si="10"/>
        <v>Non-Campaign</v>
      </c>
      <c r="H205">
        <v>1</v>
      </c>
      <c r="I205" s="4">
        <v>0</v>
      </c>
      <c r="J205">
        <v>469.59</v>
      </c>
      <c r="K205" s="6">
        <v>160.03</v>
      </c>
      <c r="L205" s="8">
        <f t="shared" si="11"/>
        <v>0.34078664366788053</v>
      </c>
    </row>
    <row r="206" spans="1:12" x14ac:dyDescent="0.2">
      <c r="A206" t="s">
        <v>393</v>
      </c>
      <c r="B206" s="1" t="d">
        <v>2024-10-26</v>
      </c>
      <c r="C206" s="1" t="str">
        <f t="shared" si="9"/>
        <v>October 2024</v>
      </c>
      <c r="D206" t="s">
        <v>394</v>
      </c>
      <c r="E206" t="s">
        <v>103</v>
      </c>
      <c r="F206" t="s">
        <v>20</v>
      </c>
      <c r="G206" t="str">
        <f t="shared" si="10"/>
        <v>Campaign</v>
      </c>
      <c r="H206">
        <v>3</v>
      </c>
      <c r="I206" s="4">
        <v>0.2</v>
      </c>
      <c r="J206">
        <v>227.11</v>
      </c>
      <c r="K206" s="6">
        <v>4.87</v>
      </c>
      <c r="L206" s="8">
        <f t="shared" si="11"/>
        <v>2.1443353441063802E-2</v>
      </c>
    </row>
    <row r="207" spans="1:12" x14ac:dyDescent="0.2">
      <c r="A207" t="s">
        <v>395</v>
      </c>
      <c r="B207" s="1" t="d">
        <v>2025-02-24</v>
      </c>
      <c r="C207" s="1" t="str">
        <f t="shared" si="9"/>
        <v>February 2025</v>
      </c>
      <c r="D207" t="s">
        <v>127</v>
      </c>
      <c r="E207" t="s">
        <v>47</v>
      </c>
      <c r="F207" t="s">
        <v>1337</v>
      </c>
      <c r="G207" t="str">
        <f t="shared" si="10"/>
        <v>Non-Campaign</v>
      </c>
      <c r="H207">
        <v>1</v>
      </c>
      <c r="I207" s="4">
        <v>0.3</v>
      </c>
      <c r="J207">
        <v>210.42</v>
      </c>
      <c r="K207" s="6">
        <v>-17.77</v>
      </c>
      <c r="L207" s="8">
        <f t="shared" si="11"/>
        <v>-8.445014732439883E-2</v>
      </c>
    </row>
    <row r="208" spans="1:12" x14ac:dyDescent="0.2">
      <c r="A208" t="s">
        <v>396</v>
      </c>
      <c r="B208" s="1" t="d">
        <v>2024-10-02</v>
      </c>
      <c r="C208" s="1" t="str">
        <f t="shared" si="9"/>
        <v>October 2024</v>
      </c>
      <c r="D208" t="s">
        <v>397</v>
      </c>
      <c r="E208" t="s">
        <v>119</v>
      </c>
      <c r="F208" t="s">
        <v>1337</v>
      </c>
      <c r="G208" t="str">
        <f t="shared" si="10"/>
        <v>Non-Campaign</v>
      </c>
      <c r="H208">
        <v>4</v>
      </c>
      <c r="I208" s="4">
        <v>0.05</v>
      </c>
      <c r="J208">
        <v>476.03</v>
      </c>
      <c r="K208" s="6">
        <v>75.67</v>
      </c>
      <c r="L208" s="8">
        <f t="shared" si="11"/>
        <v>0.15896056971199296</v>
      </c>
    </row>
    <row r="209" spans="1:12" x14ac:dyDescent="0.2">
      <c r="A209" t="s">
        <v>398</v>
      </c>
      <c r="B209" s="1" t="d">
        <v>2025-05-14</v>
      </c>
      <c r="C209" s="1" t="str">
        <f t="shared" si="9"/>
        <v>May 2025</v>
      </c>
      <c r="D209" t="s">
        <v>399</v>
      </c>
      <c r="E209" t="s">
        <v>50</v>
      </c>
      <c r="F209" t="s">
        <v>1337</v>
      </c>
      <c r="G209" t="str">
        <f t="shared" si="10"/>
        <v>Non-Campaign</v>
      </c>
      <c r="H209">
        <v>4</v>
      </c>
      <c r="I209" s="4">
        <v>0.05</v>
      </c>
      <c r="J209">
        <v>1405.92</v>
      </c>
      <c r="K209" s="6">
        <v>717.24</v>
      </c>
      <c r="L209" s="8">
        <f t="shared" si="11"/>
        <v>0.51015705018777735</v>
      </c>
    </row>
    <row r="210" spans="1:12" x14ac:dyDescent="0.2">
      <c r="A210" t="s">
        <v>400</v>
      </c>
      <c r="B210" s="1" t="d">
        <v>2024-12-12</v>
      </c>
      <c r="C210" s="1" t="str">
        <f t="shared" si="9"/>
        <v>December 2024</v>
      </c>
      <c r="D210" t="s">
        <v>401</v>
      </c>
      <c r="E210" t="s">
        <v>96</v>
      </c>
      <c r="F210" t="s">
        <v>1337</v>
      </c>
      <c r="G210" t="str">
        <f t="shared" si="10"/>
        <v>Non-Campaign</v>
      </c>
      <c r="H210">
        <v>1</v>
      </c>
      <c r="I210" s="4">
        <v>0.2</v>
      </c>
      <c r="J210">
        <v>41.42</v>
      </c>
      <c r="K210" s="6">
        <v>1.8</v>
      </c>
      <c r="L210" s="8">
        <f t="shared" si="11"/>
        <v>4.3457267020762913E-2</v>
      </c>
    </row>
    <row r="211" spans="1:12" x14ac:dyDescent="0.2">
      <c r="A211" t="s">
        <v>402</v>
      </c>
      <c r="B211" s="1" t="d">
        <v>2024-08-07</v>
      </c>
      <c r="C211" s="1" t="str">
        <f t="shared" si="9"/>
        <v>August 2024</v>
      </c>
      <c r="D211" t="s">
        <v>79</v>
      </c>
      <c r="E211" t="s">
        <v>119</v>
      </c>
      <c r="F211" t="s">
        <v>30</v>
      </c>
      <c r="G211" t="str">
        <f t="shared" si="10"/>
        <v>Campaign</v>
      </c>
      <c r="H211">
        <v>1</v>
      </c>
      <c r="I211" s="4">
        <v>0</v>
      </c>
      <c r="J211">
        <v>125.27</v>
      </c>
      <c r="K211" s="6">
        <v>25.18</v>
      </c>
      <c r="L211" s="8">
        <f t="shared" si="11"/>
        <v>0.20100582741278838</v>
      </c>
    </row>
    <row r="212" spans="1:12" x14ac:dyDescent="0.2">
      <c r="A212" t="s">
        <v>403</v>
      </c>
      <c r="B212" s="1" t="d">
        <v>2024-12-12</v>
      </c>
      <c r="C212" s="1" t="str">
        <f t="shared" si="9"/>
        <v>December 2024</v>
      </c>
      <c r="D212" t="s">
        <v>404</v>
      </c>
      <c r="E212" t="s">
        <v>193</v>
      </c>
      <c r="F212" t="s">
        <v>1337</v>
      </c>
      <c r="G212" t="str">
        <f t="shared" si="10"/>
        <v>Non-Campaign</v>
      </c>
      <c r="H212">
        <v>2</v>
      </c>
      <c r="I212" s="4">
        <v>0.3</v>
      </c>
      <c r="J212">
        <v>464.72</v>
      </c>
      <c r="K212" s="6">
        <v>54.46</v>
      </c>
      <c r="L212" s="8">
        <f t="shared" si="11"/>
        <v>0.11718884489585125</v>
      </c>
    </row>
    <row r="213" spans="1:12" x14ac:dyDescent="0.2">
      <c r="A213" t="s">
        <v>405</v>
      </c>
      <c r="B213" s="1" t="d">
        <v>2024-10-19</v>
      </c>
      <c r="C213" s="1" t="str">
        <f t="shared" si="9"/>
        <v>October 2024</v>
      </c>
      <c r="D213" t="s">
        <v>406</v>
      </c>
      <c r="E213" t="s">
        <v>165</v>
      </c>
      <c r="F213" t="s">
        <v>1337</v>
      </c>
      <c r="G213" t="str">
        <f t="shared" si="10"/>
        <v>Non-Campaign</v>
      </c>
      <c r="H213">
        <v>1</v>
      </c>
      <c r="I213" s="4">
        <v>0</v>
      </c>
      <c r="J213">
        <v>79.92</v>
      </c>
      <c r="K213" s="6">
        <v>18.47</v>
      </c>
      <c r="L213" s="8">
        <f t="shared" si="11"/>
        <v>0.23110610610610607</v>
      </c>
    </row>
    <row r="214" spans="1:12" x14ac:dyDescent="0.2">
      <c r="A214" t="s">
        <v>407</v>
      </c>
      <c r="B214" s="1" t="d">
        <v>2024-10-21</v>
      </c>
      <c r="C214" s="1" t="str">
        <f t="shared" si="9"/>
        <v>October 2024</v>
      </c>
      <c r="D214" t="s">
        <v>408</v>
      </c>
      <c r="E214" t="s">
        <v>80</v>
      </c>
      <c r="F214" t="s">
        <v>1337</v>
      </c>
      <c r="G214" t="str">
        <f t="shared" si="10"/>
        <v>Non-Campaign</v>
      </c>
      <c r="H214">
        <v>3</v>
      </c>
      <c r="I214" s="4">
        <v>0.1</v>
      </c>
      <c r="J214">
        <v>396.82</v>
      </c>
      <c r="K214" s="6">
        <v>212.8</v>
      </c>
      <c r="L214" s="8">
        <f t="shared" si="11"/>
        <v>0.53626329318078725</v>
      </c>
    </row>
    <row r="215" spans="1:12" x14ac:dyDescent="0.2">
      <c r="A215" t="s">
        <v>409</v>
      </c>
      <c r="B215" s="1" t="d">
        <v>2024-07-11</v>
      </c>
      <c r="C215" s="1" t="str">
        <f t="shared" si="9"/>
        <v>July 2024</v>
      </c>
      <c r="D215" t="s">
        <v>410</v>
      </c>
      <c r="E215" t="s">
        <v>193</v>
      </c>
      <c r="F215" t="s">
        <v>20</v>
      </c>
      <c r="G215" t="str">
        <f t="shared" si="10"/>
        <v>Campaign</v>
      </c>
      <c r="H215">
        <v>2</v>
      </c>
      <c r="I215" s="4">
        <v>0.15</v>
      </c>
      <c r="J215">
        <v>564.29999999999995</v>
      </c>
      <c r="K215" s="6">
        <v>154.04</v>
      </c>
      <c r="L215" s="8">
        <f t="shared" si="11"/>
        <v>0.27297536771220982</v>
      </c>
    </row>
    <row r="216" spans="1:12" x14ac:dyDescent="0.2">
      <c r="A216" t="s">
        <v>411</v>
      </c>
      <c r="B216" s="1" t="d">
        <v>2024-08-14</v>
      </c>
      <c r="C216" s="1" t="str">
        <f t="shared" si="9"/>
        <v>August 2024</v>
      </c>
      <c r="D216" t="s">
        <v>412</v>
      </c>
      <c r="E216" t="s">
        <v>50</v>
      </c>
      <c r="F216" t="s">
        <v>1337</v>
      </c>
      <c r="G216" t="str">
        <f t="shared" si="10"/>
        <v>Non-Campaign</v>
      </c>
      <c r="H216">
        <v>1</v>
      </c>
      <c r="I216" s="4">
        <v>0</v>
      </c>
      <c r="J216">
        <v>369.98</v>
      </c>
      <c r="K216" s="6">
        <v>197.81</v>
      </c>
      <c r="L216" s="8">
        <f t="shared" si="11"/>
        <v>0.53465052164981886</v>
      </c>
    </row>
    <row r="217" spans="1:12" x14ac:dyDescent="0.2">
      <c r="A217" t="s">
        <v>413</v>
      </c>
      <c r="B217" s="1" t="d">
        <v>2025-01-23</v>
      </c>
      <c r="C217" s="1" t="str">
        <f t="shared" si="9"/>
        <v>January 2025</v>
      </c>
      <c r="D217" t="s">
        <v>414</v>
      </c>
      <c r="E217" t="s">
        <v>44</v>
      </c>
      <c r="F217" t="s">
        <v>20</v>
      </c>
      <c r="G217" t="str">
        <f t="shared" si="10"/>
        <v>Campaign</v>
      </c>
      <c r="H217">
        <v>5</v>
      </c>
      <c r="I217" s="4">
        <v>0.2</v>
      </c>
      <c r="J217">
        <v>642.91999999999996</v>
      </c>
      <c r="K217" s="6">
        <v>119.37</v>
      </c>
      <c r="L217" s="8">
        <f t="shared" si="11"/>
        <v>0.18566851241211974</v>
      </c>
    </row>
    <row r="218" spans="1:12" x14ac:dyDescent="0.2">
      <c r="A218" t="s">
        <v>415</v>
      </c>
      <c r="B218" s="1" t="d">
        <v>2024-10-07</v>
      </c>
      <c r="C218" s="1" t="str">
        <f t="shared" si="9"/>
        <v>October 2024</v>
      </c>
      <c r="D218" t="s">
        <v>416</v>
      </c>
      <c r="E218" t="s">
        <v>65</v>
      </c>
      <c r="F218" t="s">
        <v>1337</v>
      </c>
      <c r="G218" t="str">
        <f t="shared" si="10"/>
        <v>Non-Campaign</v>
      </c>
      <c r="H218">
        <v>1</v>
      </c>
      <c r="I218" s="4">
        <v>0.1</v>
      </c>
      <c r="J218">
        <v>87.11</v>
      </c>
      <c r="K218" s="6">
        <v>22.05</v>
      </c>
      <c r="L218" s="8">
        <f t="shared" si="11"/>
        <v>0.25312822867638618</v>
      </c>
    </row>
    <row r="219" spans="1:12" x14ac:dyDescent="0.2">
      <c r="A219" t="s">
        <v>417</v>
      </c>
      <c r="B219" s="1" t="d">
        <v>2024-10-25</v>
      </c>
      <c r="C219" s="1" t="str">
        <f t="shared" si="9"/>
        <v>October 2024</v>
      </c>
      <c r="D219" t="s">
        <v>334</v>
      </c>
      <c r="E219" t="s">
        <v>177</v>
      </c>
      <c r="F219" t="s">
        <v>20</v>
      </c>
      <c r="G219" t="str">
        <f t="shared" si="10"/>
        <v>Campaign</v>
      </c>
      <c r="H219">
        <v>5</v>
      </c>
      <c r="I219" s="4">
        <v>0.05</v>
      </c>
      <c r="J219">
        <v>533.41999999999996</v>
      </c>
      <c r="K219" s="6">
        <v>293.22000000000003</v>
      </c>
      <c r="L219" s="8">
        <f t="shared" si="11"/>
        <v>0.5496981740467175</v>
      </c>
    </row>
    <row r="220" spans="1:12" x14ac:dyDescent="0.2">
      <c r="A220" t="s">
        <v>418</v>
      </c>
      <c r="B220" s="1" t="d">
        <v>2024-07-30</v>
      </c>
      <c r="C220" s="1" t="str">
        <f t="shared" si="9"/>
        <v>July 2024</v>
      </c>
      <c r="D220" t="s">
        <v>419</v>
      </c>
      <c r="E220" t="s">
        <v>38</v>
      </c>
      <c r="F220" t="s">
        <v>16</v>
      </c>
      <c r="G220" t="str">
        <f t="shared" si="10"/>
        <v>Campaign</v>
      </c>
      <c r="H220">
        <v>4</v>
      </c>
      <c r="I220" s="4">
        <v>0.05</v>
      </c>
      <c r="J220">
        <v>1784.44</v>
      </c>
      <c r="K220" s="6">
        <v>546.20000000000005</v>
      </c>
      <c r="L220" s="8">
        <f t="shared" si="11"/>
        <v>0.30609042612808501</v>
      </c>
    </row>
    <row r="221" spans="1:12" x14ac:dyDescent="0.2">
      <c r="A221" t="s">
        <v>420</v>
      </c>
      <c r="B221" s="1" t="d">
        <v>2025-06-30</v>
      </c>
      <c r="C221" s="1" t="str">
        <f t="shared" si="9"/>
        <v>June 2025</v>
      </c>
      <c r="D221" t="s">
        <v>267</v>
      </c>
      <c r="E221" t="s">
        <v>72</v>
      </c>
      <c r="F221" t="s">
        <v>109</v>
      </c>
      <c r="G221" t="str">
        <f t="shared" si="10"/>
        <v>Campaign</v>
      </c>
      <c r="H221">
        <v>3</v>
      </c>
      <c r="I221" s="4">
        <v>0.15</v>
      </c>
      <c r="J221">
        <v>164.53</v>
      </c>
      <c r="K221" s="6">
        <v>79.63</v>
      </c>
      <c r="L221" s="8">
        <f t="shared" si="11"/>
        <v>0.48398468364432018</v>
      </c>
    </row>
    <row r="222" spans="1:12" x14ac:dyDescent="0.2">
      <c r="A222" t="s">
        <v>421</v>
      </c>
      <c r="B222" s="1" t="d">
        <v>2024-11-05</v>
      </c>
      <c r="C222" s="1" t="str">
        <f t="shared" si="9"/>
        <v>November 2024</v>
      </c>
      <c r="D222" t="s">
        <v>232</v>
      </c>
      <c r="E222" t="s">
        <v>26</v>
      </c>
      <c r="F222" t="s">
        <v>16</v>
      </c>
      <c r="G222" t="str">
        <f t="shared" si="10"/>
        <v>Campaign</v>
      </c>
      <c r="H222">
        <v>4</v>
      </c>
      <c r="I222" s="4">
        <v>0.1</v>
      </c>
      <c r="J222">
        <v>801.07</v>
      </c>
      <c r="K222" s="6">
        <v>434.43</v>
      </c>
      <c r="L222" s="8">
        <f t="shared" si="11"/>
        <v>0.5423121574893579</v>
      </c>
    </row>
    <row r="223" spans="1:12" x14ac:dyDescent="0.2">
      <c r="A223" t="s">
        <v>422</v>
      </c>
      <c r="B223" s="1" t="d">
        <v>2025-03-20</v>
      </c>
      <c r="C223" s="1" t="str">
        <f t="shared" si="9"/>
        <v>March 2025</v>
      </c>
      <c r="D223" t="s">
        <v>423</v>
      </c>
      <c r="E223" t="s">
        <v>80</v>
      </c>
      <c r="F223" t="s">
        <v>1337</v>
      </c>
      <c r="G223" t="str">
        <f t="shared" si="10"/>
        <v>Non-Campaign</v>
      </c>
      <c r="H223">
        <v>1</v>
      </c>
      <c r="I223" s="4">
        <v>0.1</v>
      </c>
      <c r="J223">
        <v>132.27000000000001</v>
      </c>
      <c r="K223" s="6">
        <v>70.930000000000007</v>
      </c>
      <c r="L223" s="8">
        <f t="shared" si="11"/>
        <v>0.53625160656233462</v>
      </c>
    </row>
    <row r="224" spans="1:12" x14ac:dyDescent="0.2">
      <c r="A224" t="s">
        <v>424</v>
      </c>
      <c r="B224" s="1" t="d">
        <v>2024-08-30</v>
      </c>
      <c r="C224" s="1" t="str">
        <f t="shared" si="9"/>
        <v>August 2024</v>
      </c>
      <c r="D224" t="s">
        <v>425</v>
      </c>
      <c r="E224" t="s">
        <v>103</v>
      </c>
      <c r="F224" t="s">
        <v>1337</v>
      </c>
      <c r="G224" t="str">
        <f t="shared" si="10"/>
        <v>Non-Campaign</v>
      </c>
      <c r="H224">
        <v>5</v>
      </c>
      <c r="I224" s="4">
        <v>0.2</v>
      </c>
      <c r="J224">
        <v>378.52</v>
      </c>
      <c r="K224" s="6">
        <v>8.1199999999999992</v>
      </c>
      <c r="L224" s="8">
        <f t="shared" si="11"/>
        <v>2.1451970833773645E-2</v>
      </c>
    </row>
    <row r="225" spans="1:12" x14ac:dyDescent="0.2">
      <c r="A225" t="s">
        <v>426</v>
      </c>
      <c r="B225" s="1" t="d">
        <v>2025-05-20</v>
      </c>
      <c r="C225" s="1" t="str">
        <f t="shared" si="9"/>
        <v>May 2025</v>
      </c>
      <c r="D225" t="s">
        <v>143</v>
      </c>
      <c r="E225" t="s">
        <v>11</v>
      </c>
      <c r="F225" t="s">
        <v>20</v>
      </c>
      <c r="G225" t="str">
        <f t="shared" si="10"/>
        <v>Campaign</v>
      </c>
      <c r="H225">
        <v>2</v>
      </c>
      <c r="I225" s="4">
        <v>0.1</v>
      </c>
      <c r="J225">
        <v>364.43</v>
      </c>
      <c r="K225" s="6">
        <v>129.03</v>
      </c>
      <c r="L225" s="8">
        <f t="shared" si="11"/>
        <v>0.35405976456383942</v>
      </c>
    </row>
    <row r="226" spans="1:12" x14ac:dyDescent="0.2">
      <c r="A226" t="s">
        <v>427</v>
      </c>
      <c r="B226" s="1" t="d">
        <v>2025-01-03</v>
      </c>
      <c r="C226" s="1" t="str">
        <f t="shared" si="9"/>
        <v>January 2025</v>
      </c>
      <c r="D226" t="s">
        <v>428</v>
      </c>
      <c r="E226" t="s">
        <v>177</v>
      </c>
      <c r="F226" t="s">
        <v>1337</v>
      </c>
      <c r="G226" t="str">
        <f t="shared" si="10"/>
        <v>Non-Campaign</v>
      </c>
      <c r="H226">
        <v>5</v>
      </c>
      <c r="I226" s="4">
        <v>0.15</v>
      </c>
      <c r="J226">
        <v>477.28</v>
      </c>
      <c r="K226" s="6">
        <v>237.08</v>
      </c>
      <c r="L226" s="8">
        <f t="shared" si="11"/>
        <v>0.49673147837747239</v>
      </c>
    </row>
    <row r="227" spans="1:12" x14ac:dyDescent="0.2">
      <c r="A227" t="s">
        <v>429</v>
      </c>
      <c r="B227" s="1" t="d">
        <v>2024-10-14</v>
      </c>
      <c r="C227" s="1" t="str">
        <f t="shared" si="9"/>
        <v>October 2024</v>
      </c>
      <c r="D227" t="s">
        <v>271</v>
      </c>
      <c r="E227" t="s">
        <v>11</v>
      </c>
      <c r="F227" t="s">
        <v>1337</v>
      </c>
      <c r="G227" t="str">
        <f t="shared" si="10"/>
        <v>Non-Campaign</v>
      </c>
      <c r="H227">
        <v>4</v>
      </c>
      <c r="I227" s="4">
        <v>0.3</v>
      </c>
      <c r="J227">
        <v>566.89</v>
      </c>
      <c r="K227" s="6">
        <v>96.09</v>
      </c>
      <c r="L227" s="8">
        <f t="shared" si="11"/>
        <v>0.16950378380285419</v>
      </c>
    </row>
    <row r="228" spans="1:12" x14ac:dyDescent="0.2">
      <c r="A228" t="s">
        <v>430</v>
      </c>
      <c r="B228" s="1" t="d">
        <v>2024-08-04</v>
      </c>
      <c r="C228" s="1" t="str">
        <f t="shared" si="9"/>
        <v>August 2024</v>
      </c>
      <c r="D228" t="s">
        <v>113</v>
      </c>
      <c r="E228" t="s">
        <v>80</v>
      </c>
      <c r="F228" t="s">
        <v>1337</v>
      </c>
      <c r="G228" t="str">
        <f t="shared" si="10"/>
        <v>Non-Campaign</v>
      </c>
      <c r="H228">
        <v>5</v>
      </c>
      <c r="I228" s="4">
        <v>0.3</v>
      </c>
      <c r="J228">
        <v>514.4</v>
      </c>
      <c r="K228" s="6">
        <v>207.7</v>
      </c>
      <c r="L228" s="8">
        <f t="shared" si="11"/>
        <v>0.40377138413685848</v>
      </c>
    </row>
    <row r="229" spans="1:12" x14ac:dyDescent="0.2">
      <c r="A229" t="s">
        <v>431</v>
      </c>
      <c r="B229" s="1" t="d">
        <v>2025-05-14</v>
      </c>
      <c r="C229" s="1" t="str">
        <f t="shared" si="9"/>
        <v>May 2025</v>
      </c>
      <c r="D229" t="s">
        <v>247</v>
      </c>
      <c r="E229" t="s">
        <v>106</v>
      </c>
      <c r="F229" t="s">
        <v>1337</v>
      </c>
      <c r="G229" t="str">
        <f t="shared" si="10"/>
        <v>Non-Campaign</v>
      </c>
      <c r="H229">
        <v>2</v>
      </c>
      <c r="I229" s="4">
        <v>0.15</v>
      </c>
      <c r="J229">
        <v>336.07</v>
      </c>
      <c r="K229" s="6">
        <v>144.79</v>
      </c>
      <c r="L229" s="8">
        <f t="shared" si="11"/>
        <v>0.4308328622013271</v>
      </c>
    </row>
    <row r="230" spans="1:12" x14ac:dyDescent="0.2">
      <c r="A230" t="s">
        <v>432</v>
      </c>
      <c r="B230" s="1" t="d">
        <v>2025-04-01</v>
      </c>
      <c r="C230" s="1" t="str">
        <f t="shared" si="9"/>
        <v>April 2025</v>
      </c>
      <c r="D230" t="s">
        <v>202</v>
      </c>
      <c r="E230" t="s">
        <v>80</v>
      </c>
      <c r="F230" t="s">
        <v>1337</v>
      </c>
      <c r="G230" t="str">
        <f t="shared" si="10"/>
        <v>Non-Campaign</v>
      </c>
      <c r="H230">
        <v>5</v>
      </c>
      <c r="I230" s="4">
        <v>0.05</v>
      </c>
      <c r="J230">
        <v>698.11</v>
      </c>
      <c r="K230" s="6">
        <v>391.41</v>
      </c>
      <c r="L230" s="8">
        <f t="shared" si="11"/>
        <v>0.56067095443411497</v>
      </c>
    </row>
    <row r="231" spans="1:12" x14ac:dyDescent="0.2">
      <c r="A231" t="s">
        <v>433</v>
      </c>
      <c r="B231" s="1" t="d">
        <v>2025-06-20</v>
      </c>
      <c r="C231" s="1" t="str">
        <f t="shared" si="9"/>
        <v>June 2025</v>
      </c>
      <c r="D231" t="s">
        <v>416</v>
      </c>
      <c r="E231" t="s">
        <v>177</v>
      </c>
      <c r="F231" t="s">
        <v>109</v>
      </c>
      <c r="G231" t="str">
        <f t="shared" si="10"/>
        <v>Campaign</v>
      </c>
      <c r="H231">
        <v>4</v>
      </c>
      <c r="I231" s="4">
        <v>0.1</v>
      </c>
      <c r="J231">
        <v>404.28</v>
      </c>
      <c r="K231" s="6">
        <v>212.12</v>
      </c>
      <c r="L231" s="8">
        <f t="shared" si="11"/>
        <v>0.52468586128425854</v>
      </c>
    </row>
    <row r="232" spans="1:12" x14ac:dyDescent="0.2">
      <c r="A232" t="s">
        <v>434</v>
      </c>
      <c r="B232" s="1" t="d">
        <v>2024-12-23</v>
      </c>
      <c r="C232" s="1" t="str">
        <f t="shared" si="9"/>
        <v>December 2024</v>
      </c>
      <c r="D232" t="s">
        <v>435</v>
      </c>
      <c r="E232" t="s">
        <v>138</v>
      </c>
      <c r="F232" t="s">
        <v>30</v>
      </c>
      <c r="G232" t="str">
        <f t="shared" si="10"/>
        <v>Campaign</v>
      </c>
      <c r="H232">
        <v>5</v>
      </c>
      <c r="I232" s="4">
        <v>0.2</v>
      </c>
      <c r="J232">
        <v>1732.68</v>
      </c>
      <c r="K232" s="6">
        <v>856.38</v>
      </c>
      <c r="L232" s="8">
        <f t="shared" si="11"/>
        <v>0.4942516794791883</v>
      </c>
    </row>
    <row r="233" spans="1:12" x14ac:dyDescent="0.2">
      <c r="A233" t="s">
        <v>436</v>
      </c>
      <c r="B233" s="1" t="d">
        <v>2025-01-05</v>
      </c>
      <c r="C233" s="1" t="str">
        <f t="shared" si="9"/>
        <v>January 2025</v>
      </c>
      <c r="D233" t="s">
        <v>437</v>
      </c>
      <c r="E233" t="s">
        <v>96</v>
      </c>
      <c r="F233" t="s">
        <v>12</v>
      </c>
      <c r="G233" t="str">
        <f t="shared" si="10"/>
        <v>Campaign</v>
      </c>
      <c r="H233">
        <v>4</v>
      </c>
      <c r="I233" s="4">
        <v>0.3</v>
      </c>
      <c r="J233">
        <v>144.96</v>
      </c>
      <c r="K233" s="6">
        <v>-13.52</v>
      </c>
      <c r="L233" s="8">
        <f t="shared" si="11"/>
        <v>-9.326710816777041E-2</v>
      </c>
    </row>
    <row r="234" spans="1:12" x14ac:dyDescent="0.2">
      <c r="A234" t="s">
        <v>438</v>
      </c>
      <c r="B234" s="1" t="d">
        <v>2024-08-01</v>
      </c>
      <c r="C234" s="1" t="str">
        <f t="shared" si="9"/>
        <v>August 2024</v>
      </c>
      <c r="D234" t="s">
        <v>439</v>
      </c>
      <c r="E234" t="s">
        <v>11</v>
      </c>
      <c r="F234" t="s">
        <v>109</v>
      </c>
      <c r="G234" t="str">
        <f t="shared" si="10"/>
        <v>Campaign</v>
      </c>
      <c r="H234">
        <v>1</v>
      </c>
      <c r="I234" s="4">
        <v>0.15</v>
      </c>
      <c r="J234">
        <v>172.09</v>
      </c>
      <c r="K234" s="6">
        <v>54.39</v>
      </c>
      <c r="L234" s="8">
        <f t="shared" si="11"/>
        <v>0.31605555232727062</v>
      </c>
    </row>
    <row r="235" spans="1:12" x14ac:dyDescent="0.2">
      <c r="A235" t="s">
        <v>440</v>
      </c>
      <c r="B235" s="1" t="d">
        <v>2024-11-30</v>
      </c>
      <c r="C235" s="1" t="str">
        <f t="shared" si="9"/>
        <v>November 2024</v>
      </c>
      <c r="D235" t="s">
        <v>441</v>
      </c>
      <c r="E235" t="s">
        <v>193</v>
      </c>
      <c r="F235" t="s">
        <v>109</v>
      </c>
      <c r="G235" t="str">
        <f t="shared" si="10"/>
        <v>Campaign</v>
      </c>
      <c r="H235">
        <v>2</v>
      </c>
      <c r="I235" s="4">
        <v>0.1</v>
      </c>
      <c r="J235">
        <v>597.49</v>
      </c>
      <c r="K235" s="6">
        <v>187.23</v>
      </c>
      <c r="L235" s="8">
        <f t="shared" si="11"/>
        <v>0.31336089306934006</v>
      </c>
    </row>
    <row r="236" spans="1:12" x14ac:dyDescent="0.2">
      <c r="A236" t="s">
        <v>442</v>
      </c>
      <c r="B236" s="1" t="d">
        <v>2025-01-01</v>
      </c>
      <c r="C236" s="1" t="str">
        <f t="shared" si="9"/>
        <v>January 2025</v>
      </c>
      <c r="D236" t="s">
        <v>95</v>
      </c>
      <c r="E236" t="s">
        <v>53</v>
      </c>
      <c r="F236" t="s">
        <v>1337</v>
      </c>
      <c r="G236" t="str">
        <f t="shared" si="10"/>
        <v>Non-Campaign</v>
      </c>
      <c r="H236">
        <v>4</v>
      </c>
      <c r="I236" s="4">
        <v>0</v>
      </c>
      <c r="J236">
        <v>1338.44</v>
      </c>
      <c r="K236" s="6">
        <v>591.24</v>
      </c>
      <c r="L236" s="8">
        <f t="shared" si="11"/>
        <v>0.44173814291264457</v>
      </c>
    </row>
    <row r="237" spans="1:12" x14ac:dyDescent="0.2">
      <c r="A237" t="s">
        <v>443</v>
      </c>
      <c r="B237" s="1" t="d">
        <v>2024-07-08</v>
      </c>
      <c r="C237" s="1" t="str">
        <f t="shared" si="9"/>
        <v>July 2024</v>
      </c>
      <c r="D237" t="s">
        <v>412</v>
      </c>
      <c r="E237" t="s">
        <v>75</v>
      </c>
      <c r="F237" t="s">
        <v>1337</v>
      </c>
      <c r="G237" t="str">
        <f t="shared" si="10"/>
        <v>Non-Campaign</v>
      </c>
      <c r="H237">
        <v>5</v>
      </c>
      <c r="I237" s="4">
        <v>0.15</v>
      </c>
      <c r="J237">
        <v>746.56</v>
      </c>
      <c r="K237" s="6">
        <v>125.31</v>
      </c>
      <c r="L237" s="8">
        <f t="shared" si="11"/>
        <v>0.16784987141020147</v>
      </c>
    </row>
    <row r="238" spans="1:12" x14ac:dyDescent="0.2">
      <c r="A238" t="s">
        <v>444</v>
      </c>
      <c r="B238" s="1" t="d">
        <v>2025-04-03</v>
      </c>
      <c r="C238" s="1" t="str">
        <f t="shared" si="9"/>
        <v>April 2025</v>
      </c>
      <c r="D238" t="s">
        <v>250</v>
      </c>
      <c r="E238" t="s">
        <v>38</v>
      </c>
      <c r="F238" t="s">
        <v>1337</v>
      </c>
      <c r="G238" t="str">
        <f t="shared" si="10"/>
        <v>Non-Campaign</v>
      </c>
      <c r="H238">
        <v>5</v>
      </c>
      <c r="I238" s="4">
        <v>0</v>
      </c>
      <c r="J238">
        <v>2347.9499999999998</v>
      </c>
      <c r="K238" s="6">
        <v>800.15</v>
      </c>
      <c r="L238" s="8">
        <f t="shared" si="11"/>
        <v>0.34078664366788053</v>
      </c>
    </row>
    <row r="239" spans="1:12" x14ac:dyDescent="0.2">
      <c r="A239" t="s">
        <v>445</v>
      </c>
      <c r="B239" s="1" t="d">
        <v>2025-03-11</v>
      </c>
      <c r="C239" s="1" t="str">
        <f t="shared" si="9"/>
        <v>March 2025</v>
      </c>
      <c r="D239" t="s">
        <v>273</v>
      </c>
      <c r="E239" t="s">
        <v>53</v>
      </c>
      <c r="F239" t="s">
        <v>20</v>
      </c>
      <c r="G239" t="str">
        <f t="shared" si="10"/>
        <v>Campaign</v>
      </c>
      <c r="H239">
        <v>1</v>
      </c>
      <c r="I239" s="4">
        <v>0.05</v>
      </c>
      <c r="J239">
        <v>317.88</v>
      </c>
      <c r="K239" s="6">
        <v>131.08000000000001</v>
      </c>
      <c r="L239" s="8">
        <f t="shared" si="11"/>
        <v>0.41235686422549395</v>
      </c>
    </row>
    <row r="240" spans="1:12" x14ac:dyDescent="0.2">
      <c r="A240" t="s">
        <v>446</v>
      </c>
      <c r="B240" s="1" t="d">
        <v>2024-10-28</v>
      </c>
      <c r="C240" s="1" t="str">
        <f t="shared" si="9"/>
        <v>October 2024</v>
      </c>
      <c r="D240" t="s">
        <v>447</v>
      </c>
      <c r="E240" t="s">
        <v>35</v>
      </c>
      <c r="F240" t="s">
        <v>12</v>
      </c>
      <c r="G240" t="str">
        <f t="shared" si="10"/>
        <v>Campaign</v>
      </c>
      <c r="H240">
        <v>5</v>
      </c>
      <c r="I240" s="4">
        <v>0.3</v>
      </c>
      <c r="J240">
        <v>1059.97</v>
      </c>
      <c r="K240" s="6">
        <v>-35.979999999999997</v>
      </c>
      <c r="L240" s="8">
        <f t="shared" si="11"/>
        <v>-3.394435691576176E-2</v>
      </c>
    </row>
    <row r="241" spans="1:12" x14ac:dyDescent="0.2">
      <c r="A241" t="s">
        <v>448</v>
      </c>
      <c r="B241" s="1" t="d">
        <v>2025-02-27</v>
      </c>
      <c r="C241" s="1" t="str">
        <f t="shared" si="9"/>
        <v>February 2025</v>
      </c>
      <c r="D241" t="s">
        <v>449</v>
      </c>
      <c r="E241" t="s">
        <v>47</v>
      </c>
      <c r="F241" t="s">
        <v>1337</v>
      </c>
      <c r="G241" t="str">
        <f t="shared" si="10"/>
        <v>Non-Campaign</v>
      </c>
      <c r="H241">
        <v>4</v>
      </c>
      <c r="I241" s="4">
        <v>0</v>
      </c>
      <c r="J241">
        <v>1202.4000000000001</v>
      </c>
      <c r="K241" s="6">
        <v>289.64</v>
      </c>
      <c r="L241" s="8">
        <f t="shared" si="11"/>
        <v>0.24088489687292081</v>
      </c>
    </row>
    <row r="242" spans="1:12" x14ac:dyDescent="0.2">
      <c r="A242" t="s">
        <v>450</v>
      </c>
      <c r="B242" s="1" t="d">
        <v>2025-06-01</v>
      </c>
      <c r="C242" s="1" t="str">
        <f t="shared" si="9"/>
        <v>June 2025</v>
      </c>
      <c r="D242" t="s">
        <v>451</v>
      </c>
      <c r="E242" t="s">
        <v>23</v>
      </c>
      <c r="F242" t="s">
        <v>109</v>
      </c>
      <c r="G242" t="str">
        <f t="shared" si="10"/>
        <v>Campaign</v>
      </c>
      <c r="H242">
        <v>2</v>
      </c>
      <c r="I242" s="4">
        <v>0.2</v>
      </c>
      <c r="J242">
        <v>420.11</v>
      </c>
      <c r="K242" s="6">
        <v>204.47</v>
      </c>
      <c r="L242" s="8">
        <f t="shared" si="11"/>
        <v>0.48670586275023209</v>
      </c>
    </row>
    <row r="243" spans="1:12" x14ac:dyDescent="0.2">
      <c r="A243" t="s">
        <v>452</v>
      </c>
      <c r="B243" s="1" t="d">
        <v>2024-12-29</v>
      </c>
      <c r="C243" s="1" t="str">
        <f t="shared" si="9"/>
        <v>December 2024</v>
      </c>
      <c r="D243" t="s">
        <v>71</v>
      </c>
      <c r="E243" t="s">
        <v>50</v>
      </c>
      <c r="F243" t="s">
        <v>30</v>
      </c>
      <c r="G243" t="str">
        <f t="shared" si="10"/>
        <v>Campaign</v>
      </c>
      <c r="H243">
        <v>4</v>
      </c>
      <c r="I243" s="4">
        <v>0.1</v>
      </c>
      <c r="J243">
        <v>1331.93</v>
      </c>
      <c r="K243" s="6">
        <v>643.25</v>
      </c>
      <c r="L243" s="8">
        <f t="shared" si="11"/>
        <v>0.48294580045497887</v>
      </c>
    </row>
    <row r="244" spans="1:12" x14ac:dyDescent="0.2">
      <c r="A244" t="s">
        <v>453</v>
      </c>
      <c r="B244" s="1" t="d">
        <v>2024-12-18</v>
      </c>
      <c r="C244" s="1" t="str">
        <f t="shared" si="9"/>
        <v>December 2024</v>
      </c>
      <c r="D244" t="s">
        <v>454</v>
      </c>
      <c r="E244" t="s">
        <v>11</v>
      </c>
      <c r="F244" t="s">
        <v>16</v>
      </c>
      <c r="G244" t="str">
        <f t="shared" si="10"/>
        <v>Campaign</v>
      </c>
      <c r="H244">
        <v>3</v>
      </c>
      <c r="I244" s="4">
        <v>0</v>
      </c>
      <c r="J244">
        <v>607.38</v>
      </c>
      <c r="K244" s="6">
        <v>254.28</v>
      </c>
      <c r="L244" s="8">
        <f t="shared" si="11"/>
        <v>0.41865059764891832</v>
      </c>
    </row>
    <row r="245" spans="1:12" x14ac:dyDescent="0.2">
      <c r="A245" t="s">
        <v>455</v>
      </c>
      <c r="B245" s="1" t="d">
        <v>2024-07-02</v>
      </c>
      <c r="C245" s="1" t="str">
        <f t="shared" si="9"/>
        <v>July 2024</v>
      </c>
      <c r="D245" t="s">
        <v>368</v>
      </c>
      <c r="E245" t="s">
        <v>23</v>
      </c>
      <c r="F245" t="s">
        <v>109</v>
      </c>
      <c r="G245" t="str">
        <f t="shared" si="10"/>
        <v>Campaign</v>
      </c>
      <c r="H245">
        <v>4</v>
      </c>
      <c r="I245" s="4">
        <v>0</v>
      </c>
      <c r="J245">
        <v>1050.28</v>
      </c>
      <c r="K245" s="6">
        <v>619</v>
      </c>
      <c r="L245" s="8">
        <f t="shared" si="11"/>
        <v>0.58936664508512016</v>
      </c>
    </row>
    <row r="246" spans="1:12" x14ac:dyDescent="0.2">
      <c r="A246" t="s">
        <v>456</v>
      </c>
      <c r="B246" s="1" t="d">
        <v>2025-05-10</v>
      </c>
      <c r="C246" s="1" t="str">
        <f t="shared" si="9"/>
        <v>May 2025</v>
      </c>
      <c r="D246" t="s">
        <v>289</v>
      </c>
      <c r="E246" t="s">
        <v>130</v>
      </c>
      <c r="F246" t="s">
        <v>16</v>
      </c>
      <c r="G246" t="str">
        <f t="shared" si="10"/>
        <v>Campaign</v>
      </c>
      <c r="H246">
        <v>3</v>
      </c>
      <c r="I246" s="4">
        <v>0.1</v>
      </c>
      <c r="J246">
        <v>1033.51</v>
      </c>
      <c r="K246" s="6">
        <v>178.63</v>
      </c>
      <c r="L246" s="8">
        <f t="shared" si="11"/>
        <v>0.17283819218004665</v>
      </c>
    </row>
    <row r="247" spans="1:12" x14ac:dyDescent="0.2">
      <c r="A247" t="s">
        <v>457</v>
      </c>
      <c r="B247" s="1" t="d">
        <v>2025-05-17</v>
      </c>
      <c r="C247" s="1" t="str">
        <f t="shared" si="9"/>
        <v>May 2025</v>
      </c>
      <c r="D247" t="s">
        <v>458</v>
      </c>
      <c r="E247" t="s">
        <v>11</v>
      </c>
      <c r="F247" t="s">
        <v>30</v>
      </c>
      <c r="G247" t="str">
        <f t="shared" si="10"/>
        <v>Campaign</v>
      </c>
      <c r="H247">
        <v>5</v>
      </c>
      <c r="I247" s="4">
        <v>0.15</v>
      </c>
      <c r="J247">
        <v>860.46</v>
      </c>
      <c r="K247" s="6">
        <v>271.95999999999998</v>
      </c>
      <c r="L247" s="8">
        <f t="shared" si="11"/>
        <v>0.31606350091811353</v>
      </c>
    </row>
    <row r="248" spans="1:12" x14ac:dyDescent="0.2">
      <c r="A248" t="s">
        <v>459</v>
      </c>
      <c r="B248" s="1" t="d">
        <v>2025-04-25</v>
      </c>
      <c r="C248" s="1" t="str">
        <f t="shared" si="9"/>
        <v>April 2025</v>
      </c>
      <c r="D248" t="s">
        <v>460</v>
      </c>
      <c r="E248" t="s">
        <v>106</v>
      </c>
      <c r="F248" t="s">
        <v>20</v>
      </c>
      <c r="G248" t="str">
        <f t="shared" si="10"/>
        <v>Campaign</v>
      </c>
      <c r="H248">
        <v>4</v>
      </c>
      <c r="I248" s="4">
        <v>0.3</v>
      </c>
      <c r="J248">
        <v>553.53</v>
      </c>
      <c r="K248" s="6">
        <v>170.97</v>
      </c>
      <c r="L248" s="8">
        <f t="shared" si="11"/>
        <v>0.30887214785106498</v>
      </c>
    </row>
    <row r="249" spans="1:12" x14ac:dyDescent="0.2">
      <c r="A249" t="s">
        <v>461</v>
      </c>
      <c r="B249" s="1" t="d">
        <v>2024-10-11</v>
      </c>
      <c r="C249" s="1" t="str">
        <f t="shared" si="9"/>
        <v>October 2024</v>
      </c>
      <c r="D249" t="s">
        <v>462</v>
      </c>
      <c r="E249" t="s">
        <v>165</v>
      </c>
      <c r="F249" t="s">
        <v>20</v>
      </c>
      <c r="G249" t="str">
        <f t="shared" si="10"/>
        <v>Campaign</v>
      </c>
      <c r="H249">
        <v>3</v>
      </c>
      <c r="I249" s="4">
        <v>0</v>
      </c>
      <c r="J249">
        <v>239.76</v>
      </c>
      <c r="K249" s="6">
        <v>55.41</v>
      </c>
      <c r="L249" s="8">
        <f t="shared" si="11"/>
        <v>0.2311061061061061</v>
      </c>
    </row>
    <row r="250" spans="1:12" x14ac:dyDescent="0.2">
      <c r="A250" t="s">
        <v>463</v>
      </c>
      <c r="B250" s="1" t="d">
        <v>2024-10-24</v>
      </c>
      <c r="C250" s="1" t="str">
        <f t="shared" si="9"/>
        <v>October 2024</v>
      </c>
      <c r="D250" t="s">
        <v>435</v>
      </c>
      <c r="E250" t="s">
        <v>29</v>
      </c>
      <c r="F250" t="s">
        <v>1337</v>
      </c>
      <c r="G250" t="str">
        <f t="shared" si="10"/>
        <v>Non-Campaign</v>
      </c>
      <c r="H250">
        <v>1</v>
      </c>
      <c r="I250" s="4">
        <v>0.3</v>
      </c>
      <c r="J250">
        <v>263.16000000000003</v>
      </c>
      <c r="K250" s="6">
        <v>75.959999999999994</v>
      </c>
      <c r="L250" s="8">
        <f t="shared" si="11"/>
        <v>0.28864569083447328</v>
      </c>
    </row>
    <row r="251" spans="1:12" x14ac:dyDescent="0.2">
      <c r="A251" t="s">
        <v>464</v>
      </c>
      <c r="B251" s="1" t="d">
        <v>2025-05-11</v>
      </c>
      <c r="C251" s="1" t="str">
        <f t="shared" si="9"/>
        <v>May 2025</v>
      </c>
      <c r="D251" t="s">
        <v>465</v>
      </c>
      <c r="E251" t="s">
        <v>138</v>
      </c>
      <c r="F251" t="s">
        <v>30</v>
      </c>
      <c r="G251" t="str">
        <f t="shared" si="10"/>
        <v>Campaign</v>
      </c>
      <c r="H251">
        <v>5</v>
      </c>
      <c r="I251" s="4">
        <v>0.05</v>
      </c>
      <c r="J251">
        <v>2057.56</v>
      </c>
      <c r="K251" s="6">
        <v>1181.26</v>
      </c>
      <c r="L251" s="8">
        <f t="shared" si="11"/>
        <v>0.57410719492991702</v>
      </c>
    </row>
    <row r="252" spans="1:12" x14ac:dyDescent="0.2">
      <c r="A252" t="s">
        <v>466</v>
      </c>
      <c r="B252" s="1" t="d">
        <v>2025-02-14</v>
      </c>
      <c r="C252" s="1" t="str">
        <f t="shared" si="9"/>
        <v>February 2025</v>
      </c>
      <c r="D252" t="s">
        <v>467</v>
      </c>
      <c r="E252" t="s">
        <v>35</v>
      </c>
      <c r="F252" t="s">
        <v>1337</v>
      </c>
      <c r="G252" t="str">
        <f t="shared" si="10"/>
        <v>Non-Campaign</v>
      </c>
      <c r="H252">
        <v>5</v>
      </c>
      <c r="I252" s="4">
        <v>0.15</v>
      </c>
      <c r="J252">
        <v>1287.1099999999999</v>
      </c>
      <c r="K252" s="6">
        <v>191.16</v>
      </c>
      <c r="L252" s="8">
        <f t="shared" si="11"/>
        <v>0.14851877461910792</v>
      </c>
    </row>
    <row r="253" spans="1:12" x14ac:dyDescent="0.2">
      <c r="A253" t="s">
        <v>468</v>
      </c>
      <c r="B253" s="1" t="d">
        <v>2024-10-17</v>
      </c>
      <c r="C253" s="1" t="str">
        <f t="shared" si="9"/>
        <v>October 2024</v>
      </c>
      <c r="D253" t="s">
        <v>469</v>
      </c>
      <c r="E253" t="s">
        <v>103</v>
      </c>
      <c r="F253" t="s">
        <v>1337</v>
      </c>
      <c r="G253" t="str">
        <f t="shared" si="10"/>
        <v>Non-Campaign</v>
      </c>
      <c r="H253">
        <v>2</v>
      </c>
      <c r="I253" s="4">
        <v>0.05</v>
      </c>
      <c r="J253">
        <v>179.8</v>
      </c>
      <c r="K253" s="6">
        <v>31.64</v>
      </c>
      <c r="L253" s="8">
        <f t="shared" si="11"/>
        <v>0.17597330367074526</v>
      </c>
    </row>
    <row r="254" spans="1:12" x14ac:dyDescent="0.2">
      <c r="A254" t="s">
        <v>470</v>
      </c>
      <c r="B254" s="1" t="d">
        <v>2025-06-28</v>
      </c>
      <c r="C254" s="1" t="str">
        <f t="shared" si="9"/>
        <v>June 2025</v>
      </c>
      <c r="D254" t="s">
        <v>471</v>
      </c>
      <c r="E254" t="s">
        <v>177</v>
      </c>
      <c r="F254" t="s">
        <v>12</v>
      </c>
      <c r="G254" t="str">
        <f t="shared" si="10"/>
        <v>Campaign</v>
      </c>
      <c r="H254">
        <v>5</v>
      </c>
      <c r="I254" s="4">
        <v>0.05</v>
      </c>
      <c r="J254">
        <v>533.41999999999996</v>
      </c>
      <c r="K254" s="6">
        <v>293.22000000000003</v>
      </c>
      <c r="L254" s="8">
        <f t="shared" si="11"/>
        <v>0.5496981740467175</v>
      </c>
    </row>
    <row r="255" spans="1:12" x14ac:dyDescent="0.2">
      <c r="A255" t="s">
        <v>472</v>
      </c>
      <c r="B255" s="1" t="d">
        <v>2024-09-03</v>
      </c>
      <c r="C255" s="1" t="str">
        <f t="shared" si="9"/>
        <v>September 2024</v>
      </c>
      <c r="D255" t="s">
        <v>473</v>
      </c>
      <c r="E255" t="s">
        <v>148</v>
      </c>
      <c r="F255" t="s">
        <v>1337</v>
      </c>
      <c r="G255" t="str">
        <f t="shared" si="10"/>
        <v>Non-Campaign</v>
      </c>
      <c r="H255">
        <v>4</v>
      </c>
      <c r="I255" s="4">
        <v>0</v>
      </c>
      <c r="J255">
        <v>1979.88</v>
      </c>
      <c r="K255" s="6">
        <v>681.08</v>
      </c>
      <c r="L255" s="8">
        <f t="shared" si="11"/>
        <v>0.3440006465038285</v>
      </c>
    </row>
    <row r="256" spans="1:12" x14ac:dyDescent="0.2">
      <c r="A256" t="s">
        <v>474</v>
      </c>
      <c r="B256" s="1" t="d">
        <v>2025-04-07</v>
      </c>
      <c r="C256" s="1" t="str">
        <f t="shared" si="9"/>
        <v>April 2025</v>
      </c>
      <c r="D256" t="s">
        <v>475</v>
      </c>
      <c r="E256" t="s">
        <v>15</v>
      </c>
      <c r="F256" t="s">
        <v>109</v>
      </c>
      <c r="G256" t="str">
        <f t="shared" si="10"/>
        <v>Campaign</v>
      </c>
      <c r="H256">
        <v>1</v>
      </c>
      <c r="I256" s="4">
        <v>0.2</v>
      </c>
      <c r="J256">
        <v>325.43</v>
      </c>
      <c r="K256" s="6">
        <v>49.12</v>
      </c>
      <c r="L256" s="8">
        <f t="shared" si="11"/>
        <v>0.15093875795101863</v>
      </c>
    </row>
    <row r="257" spans="1:12" x14ac:dyDescent="0.2">
      <c r="A257" t="s">
        <v>476</v>
      </c>
      <c r="B257" s="1" t="d">
        <v>2024-09-20</v>
      </c>
      <c r="C257" s="1" t="str">
        <f t="shared" si="9"/>
        <v>September 2024</v>
      </c>
      <c r="D257" t="s">
        <v>410</v>
      </c>
      <c r="E257" t="s">
        <v>119</v>
      </c>
      <c r="F257" t="s">
        <v>16</v>
      </c>
      <c r="G257" t="str">
        <f t="shared" si="10"/>
        <v>Campaign</v>
      </c>
      <c r="H257">
        <v>3</v>
      </c>
      <c r="I257" s="4">
        <v>0.1</v>
      </c>
      <c r="J257">
        <v>338.23</v>
      </c>
      <c r="K257" s="6">
        <v>37.96</v>
      </c>
      <c r="L257" s="8">
        <f t="shared" si="11"/>
        <v>0.11223132188155988</v>
      </c>
    </row>
    <row r="258" spans="1:12" x14ac:dyDescent="0.2">
      <c r="A258" t="s">
        <v>477</v>
      </c>
      <c r="B258" s="1" t="d">
        <v>2025-03-29</v>
      </c>
      <c r="C258" s="1" t="str">
        <f t="shared" ref="C258:C321" si="12">TEXT(B258, "mmmm yyyy")</f>
        <v>March 2025</v>
      </c>
      <c r="D258" t="s">
        <v>143</v>
      </c>
      <c r="E258" t="s">
        <v>11</v>
      </c>
      <c r="F258" t="s">
        <v>20</v>
      </c>
      <c r="G258" t="str">
        <f t="shared" ref="G258:G321" si="13">IF(F258="No Campaign", "Non-Campaign", "Campaign")</f>
        <v>Campaign</v>
      </c>
      <c r="H258">
        <v>3</v>
      </c>
      <c r="I258" s="4">
        <v>0.3</v>
      </c>
      <c r="J258">
        <v>425.17</v>
      </c>
      <c r="K258" s="6">
        <v>72.069999999999993</v>
      </c>
      <c r="L258" s="8">
        <f t="shared" ref="L258:L321" si="14">IF(J258=0, 0,K258/J258)</f>
        <v>0.16950866712138671</v>
      </c>
    </row>
    <row r="259" spans="1:12" x14ac:dyDescent="0.2">
      <c r="A259" t="s">
        <v>478</v>
      </c>
      <c r="B259" s="1" t="d">
        <v>2024-08-15</v>
      </c>
      <c r="C259" s="1" t="str">
        <f t="shared" si="12"/>
        <v>August 2024</v>
      </c>
      <c r="D259" t="s">
        <v>479</v>
      </c>
      <c r="E259" t="s">
        <v>38</v>
      </c>
      <c r="F259" t="s">
        <v>1337</v>
      </c>
      <c r="G259" t="str">
        <f t="shared" si="13"/>
        <v>Non-Campaign</v>
      </c>
      <c r="H259">
        <v>5</v>
      </c>
      <c r="I259" s="4">
        <v>0.15</v>
      </c>
      <c r="J259">
        <v>1995.76</v>
      </c>
      <c r="K259" s="6">
        <v>447.96</v>
      </c>
      <c r="L259" s="8">
        <f t="shared" si="14"/>
        <v>0.22445584639435603</v>
      </c>
    </row>
    <row r="260" spans="1:12" x14ac:dyDescent="0.2">
      <c r="A260" t="s">
        <v>480</v>
      </c>
      <c r="B260" s="1" t="d">
        <v>2025-02-16</v>
      </c>
      <c r="C260" s="1" t="str">
        <f t="shared" si="12"/>
        <v>February 2025</v>
      </c>
      <c r="D260" t="s">
        <v>454</v>
      </c>
      <c r="E260" t="s">
        <v>148</v>
      </c>
      <c r="F260" t="s">
        <v>20</v>
      </c>
      <c r="G260" t="str">
        <f t="shared" si="13"/>
        <v>Campaign</v>
      </c>
      <c r="H260">
        <v>3</v>
      </c>
      <c r="I260" s="4">
        <v>0.1</v>
      </c>
      <c r="J260">
        <v>1336.42</v>
      </c>
      <c r="K260" s="6">
        <v>362.32</v>
      </c>
      <c r="L260" s="8">
        <f t="shared" si="14"/>
        <v>0.27111237485221712</v>
      </c>
    </row>
    <row r="261" spans="1:12" x14ac:dyDescent="0.2">
      <c r="A261" t="s">
        <v>481</v>
      </c>
      <c r="B261" s="1" t="d">
        <v>2025-06-26</v>
      </c>
      <c r="C261" s="1" t="str">
        <f t="shared" si="12"/>
        <v>June 2025</v>
      </c>
      <c r="D261" t="s">
        <v>25</v>
      </c>
      <c r="E261" t="s">
        <v>75</v>
      </c>
      <c r="F261" t="s">
        <v>16</v>
      </c>
      <c r="G261" t="str">
        <f t="shared" si="13"/>
        <v>Campaign</v>
      </c>
      <c r="H261">
        <v>3</v>
      </c>
      <c r="I261" s="4">
        <v>0.2</v>
      </c>
      <c r="J261">
        <v>421.58</v>
      </c>
      <c r="K261" s="6">
        <v>48.83</v>
      </c>
      <c r="L261" s="8">
        <f t="shared" si="14"/>
        <v>0.1158261777124152</v>
      </c>
    </row>
    <row r="262" spans="1:12" x14ac:dyDescent="0.2">
      <c r="A262" t="s">
        <v>482</v>
      </c>
      <c r="B262" s="1" t="d">
        <v>2024-11-19</v>
      </c>
      <c r="C262" s="1" t="str">
        <f t="shared" si="12"/>
        <v>November 2024</v>
      </c>
      <c r="D262" t="s">
        <v>483</v>
      </c>
      <c r="E262" t="s">
        <v>96</v>
      </c>
      <c r="F262" t="s">
        <v>16</v>
      </c>
      <c r="G262" t="str">
        <f t="shared" si="13"/>
        <v>Campaign</v>
      </c>
      <c r="H262">
        <v>3</v>
      </c>
      <c r="I262" s="4">
        <v>0</v>
      </c>
      <c r="J262">
        <v>155.31</v>
      </c>
      <c r="K262" s="6">
        <v>36.450000000000003</v>
      </c>
      <c r="L262" s="8">
        <f t="shared" si="14"/>
        <v>0.23469190650956154</v>
      </c>
    </row>
    <row r="263" spans="1:12" x14ac:dyDescent="0.2">
      <c r="A263" t="s">
        <v>484</v>
      </c>
      <c r="B263" s="1" t="d">
        <v>2024-10-04</v>
      </c>
      <c r="C263" s="1" t="str">
        <f t="shared" si="12"/>
        <v>October 2024</v>
      </c>
      <c r="D263" t="s">
        <v>239</v>
      </c>
      <c r="E263" t="s">
        <v>80</v>
      </c>
      <c r="F263" t="s">
        <v>20</v>
      </c>
      <c r="G263" t="str">
        <f t="shared" si="13"/>
        <v>Campaign</v>
      </c>
      <c r="H263">
        <v>2</v>
      </c>
      <c r="I263" s="4">
        <v>0.1</v>
      </c>
      <c r="J263">
        <v>264.55</v>
      </c>
      <c r="K263" s="6">
        <v>141.87</v>
      </c>
      <c r="L263" s="8">
        <f t="shared" si="14"/>
        <v>0.5362691362691363</v>
      </c>
    </row>
    <row r="264" spans="1:12" x14ac:dyDescent="0.2">
      <c r="A264" t="s">
        <v>485</v>
      </c>
      <c r="B264" s="1" t="d">
        <v>2024-08-30</v>
      </c>
      <c r="C264" s="1" t="str">
        <f t="shared" si="12"/>
        <v>August 2024</v>
      </c>
      <c r="D264" t="s">
        <v>486</v>
      </c>
      <c r="E264" t="s">
        <v>38</v>
      </c>
      <c r="F264" t="s">
        <v>1337</v>
      </c>
      <c r="G264" t="str">
        <f t="shared" si="13"/>
        <v>Non-Campaign</v>
      </c>
      <c r="H264">
        <v>4</v>
      </c>
      <c r="I264" s="4">
        <v>0.2</v>
      </c>
      <c r="J264">
        <v>1502.69</v>
      </c>
      <c r="K264" s="6">
        <v>264.45</v>
      </c>
      <c r="L264" s="8">
        <f t="shared" si="14"/>
        <v>0.17598440130698945</v>
      </c>
    </row>
    <row r="265" spans="1:12" x14ac:dyDescent="0.2">
      <c r="A265" t="s">
        <v>487</v>
      </c>
      <c r="B265" s="1" t="d">
        <v>2025-06-02</v>
      </c>
      <c r="C265" s="1" t="str">
        <f t="shared" si="12"/>
        <v>June 2025</v>
      </c>
      <c r="D265" t="s">
        <v>198</v>
      </c>
      <c r="E265" t="s">
        <v>148</v>
      </c>
      <c r="F265" t="s">
        <v>1337</v>
      </c>
      <c r="G265" t="str">
        <f t="shared" si="13"/>
        <v>Non-Campaign</v>
      </c>
      <c r="H265">
        <v>4</v>
      </c>
      <c r="I265" s="4">
        <v>0.05</v>
      </c>
      <c r="J265">
        <v>1880.89</v>
      </c>
      <c r="K265" s="6">
        <v>582.09</v>
      </c>
      <c r="L265" s="8">
        <f t="shared" si="14"/>
        <v>0.30947583324915334</v>
      </c>
    </row>
    <row r="266" spans="1:12" x14ac:dyDescent="0.2">
      <c r="A266" t="s">
        <v>488</v>
      </c>
      <c r="B266" s="1" t="d">
        <v>2025-04-13</v>
      </c>
      <c r="C266" s="1" t="str">
        <f t="shared" si="12"/>
        <v>April 2025</v>
      </c>
      <c r="D266" t="s">
        <v>489</v>
      </c>
      <c r="E266" t="s">
        <v>41</v>
      </c>
      <c r="F266" t="s">
        <v>16</v>
      </c>
      <c r="G266" t="str">
        <f t="shared" si="13"/>
        <v>Campaign</v>
      </c>
      <c r="H266">
        <v>5</v>
      </c>
      <c r="I266" s="4">
        <v>0.05</v>
      </c>
      <c r="J266">
        <v>1968.73</v>
      </c>
      <c r="K266" s="6">
        <v>472.48</v>
      </c>
      <c r="L266" s="8">
        <f t="shared" si="14"/>
        <v>0.23999227928664674</v>
      </c>
    </row>
    <row r="267" spans="1:12" x14ac:dyDescent="0.2">
      <c r="A267" t="s">
        <v>490</v>
      </c>
      <c r="B267" s="1" t="d">
        <v>2025-04-25</v>
      </c>
      <c r="C267" s="1" t="str">
        <f t="shared" si="12"/>
        <v>April 2025</v>
      </c>
      <c r="D267" t="s">
        <v>479</v>
      </c>
      <c r="E267" t="s">
        <v>80</v>
      </c>
      <c r="F267" t="s">
        <v>16</v>
      </c>
      <c r="G267" t="str">
        <f t="shared" si="13"/>
        <v>Campaign</v>
      </c>
      <c r="H267">
        <v>2</v>
      </c>
      <c r="I267" s="4">
        <v>0.1</v>
      </c>
      <c r="J267">
        <v>264.55</v>
      </c>
      <c r="K267" s="6">
        <v>141.87</v>
      </c>
      <c r="L267" s="8">
        <f t="shared" si="14"/>
        <v>0.5362691362691363</v>
      </c>
    </row>
    <row r="268" spans="1:12" x14ac:dyDescent="0.2">
      <c r="A268" t="s">
        <v>491</v>
      </c>
      <c r="B268" s="1" t="d">
        <v>2024-12-06</v>
      </c>
      <c r="C268" s="1" t="str">
        <f t="shared" si="12"/>
        <v>December 2024</v>
      </c>
      <c r="D268" t="s">
        <v>473</v>
      </c>
      <c r="E268" t="s">
        <v>75</v>
      </c>
      <c r="F268" t="s">
        <v>12</v>
      </c>
      <c r="G268" t="str">
        <f t="shared" si="13"/>
        <v>Campaign</v>
      </c>
      <c r="H268">
        <v>3</v>
      </c>
      <c r="I268" s="4">
        <v>0</v>
      </c>
      <c r="J268">
        <v>526.98</v>
      </c>
      <c r="K268" s="6">
        <v>154.22999999999999</v>
      </c>
      <c r="L268" s="8">
        <f t="shared" si="14"/>
        <v>0.29266765342138218</v>
      </c>
    </row>
    <row r="269" spans="1:12" x14ac:dyDescent="0.2">
      <c r="A269" t="s">
        <v>492</v>
      </c>
      <c r="B269" s="1" t="d">
        <v>2025-05-25</v>
      </c>
      <c r="C269" s="1" t="str">
        <f t="shared" si="12"/>
        <v>May 2025</v>
      </c>
      <c r="D269" t="s">
        <v>493</v>
      </c>
      <c r="E269" t="s">
        <v>193</v>
      </c>
      <c r="F269" t="s">
        <v>30</v>
      </c>
      <c r="G269" t="str">
        <f t="shared" si="13"/>
        <v>Campaign</v>
      </c>
      <c r="H269">
        <v>4</v>
      </c>
      <c r="I269" s="4">
        <v>0.2</v>
      </c>
      <c r="J269">
        <v>1062.21</v>
      </c>
      <c r="K269" s="6">
        <v>241.69</v>
      </c>
      <c r="L269" s="8">
        <f t="shared" si="14"/>
        <v>0.22753504485930276</v>
      </c>
    </row>
    <row r="270" spans="1:12" x14ac:dyDescent="0.2">
      <c r="A270" t="s">
        <v>494</v>
      </c>
      <c r="B270" s="1" t="d">
        <v>2024-11-07</v>
      </c>
      <c r="C270" s="1" t="str">
        <f t="shared" si="12"/>
        <v>November 2024</v>
      </c>
      <c r="D270" t="s">
        <v>190</v>
      </c>
      <c r="E270" t="s">
        <v>41</v>
      </c>
      <c r="F270" t="s">
        <v>1337</v>
      </c>
      <c r="G270" t="str">
        <f t="shared" si="13"/>
        <v>Non-Campaign</v>
      </c>
      <c r="H270">
        <v>4</v>
      </c>
      <c r="I270" s="4">
        <v>0.3</v>
      </c>
      <c r="J270">
        <v>1160.52</v>
      </c>
      <c r="K270" s="6">
        <v>-36.479999999999997</v>
      </c>
      <c r="L270" s="8">
        <f t="shared" si="14"/>
        <v>-3.1434184675834968E-2</v>
      </c>
    </row>
    <row r="271" spans="1:12" x14ac:dyDescent="0.2">
      <c r="A271" t="s">
        <v>495</v>
      </c>
      <c r="B271" s="1" t="d">
        <v>2025-06-03</v>
      </c>
      <c r="C271" s="1" t="str">
        <f t="shared" si="12"/>
        <v>June 2025</v>
      </c>
      <c r="D271" t="s">
        <v>360</v>
      </c>
      <c r="E271" t="s">
        <v>19</v>
      </c>
      <c r="F271" t="s">
        <v>1337</v>
      </c>
      <c r="G271" t="str">
        <f t="shared" si="13"/>
        <v>Non-Campaign</v>
      </c>
      <c r="H271">
        <v>4</v>
      </c>
      <c r="I271" s="4">
        <v>0.05</v>
      </c>
      <c r="J271">
        <v>603.86</v>
      </c>
      <c r="K271" s="6">
        <v>329.3</v>
      </c>
      <c r="L271" s="8">
        <f t="shared" si="14"/>
        <v>0.54532507534859076</v>
      </c>
    </row>
    <row r="272" spans="1:12" x14ac:dyDescent="0.2">
      <c r="A272" t="s">
        <v>496</v>
      </c>
      <c r="B272" s="1" t="d">
        <v>2024-12-21</v>
      </c>
      <c r="C272" s="1" t="str">
        <f t="shared" si="12"/>
        <v>December 2024</v>
      </c>
      <c r="D272" t="s">
        <v>497</v>
      </c>
      <c r="E272" t="s">
        <v>148</v>
      </c>
      <c r="F272" t="s">
        <v>12</v>
      </c>
      <c r="G272" t="str">
        <f t="shared" si="13"/>
        <v>Campaign</v>
      </c>
      <c r="H272">
        <v>2</v>
      </c>
      <c r="I272" s="4">
        <v>0.1</v>
      </c>
      <c r="J272">
        <v>890.95</v>
      </c>
      <c r="K272" s="6">
        <v>241.55</v>
      </c>
      <c r="L272" s="8">
        <f t="shared" si="14"/>
        <v>0.27111510185756776</v>
      </c>
    </row>
    <row r="273" spans="1:12" x14ac:dyDescent="0.2">
      <c r="A273" t="s">
        <v>498</v>
      </c>
      <c r="B273" s="1" t="d">
        <v>2024-10-04</v>
      </c>
      <c r="C273" s="1" t="str">
        <f t="shared" si="12"/>
        <v>October 2024</v>
      </c>
      <c r="D273" t="s">
        <v>499</v>
      </c>
      <c r="E273" t="s">
        <v>72</v>
      </c>
      <c r="F273" t="s">
        <v>30</v>
      </c>
      <c r="G273" t="str">
        <f t="shared" si="13"/>
        <v>Campaign</v>
      </c>
      <c r="H273">
        <v>5</v>
      </c>
      <c r="I273" s="4">
        <v>0.1</v>
      </c>
      <c r="J273">
        <v>290.33999999999997</v>
      </c>
      <c r="K273" s="6">
        <v>148.84</v>
      </c>
      <c r="L273" s="8">
        <f t="shared" si="14"/>
        <v>0.51264035268994979</v>
      </c>
    </row>
    <row r="274" spans="1:12" x14ac:dyDescent="0.2">
      <c r="A274" t="s">
        <v>500</v>
      </c>
      <c r="B274" s="1" t="d">
        <v>2024-10-02</v>
      </c>
      <c r="C274" s="1" t="str">
        <f t="shared" si="12"/>
        <v>October 2024</v>
      </c>
      <c r="D274" t="s">
        <v>147</v>
      </c>
      <c r="E274" t="s">
        <v>47</v>
      </c>
      <c r="F274" t="s">
        <v>1337</v>
      </c>
      <c r="G274" t="str">
        <f t="shared" si="13"/>
        <v>Non-Campaign</v>
      </c>
      <c r="H274">
        <v>5</v>
      </c>
      <c r="I274" s="4">
        <v>0.3</v>
      </c>
      <c r="J274">
        <v>1052.0999999999999</v>
      </c>
      <c r="K274" s="6">
        <v>-88.85</v>
      </c>
      <c r="L274" s="8">
        <f t="shared" si="14"/>
        <v>-8.4450147324398817E-2</v>
      </c>
    </row>
    <row r="275" spans="1:12" x14ac:dyDescent="0.2">
      <c r="A275" t="s">
        <v>501</v>
      </c>
      <c r="B275" s="1" t="d">
        <v>2024-08-01</v>
      </c>
      <c r="C275" s="1" t="str">
        <f t="shared" si="12"/>
        <v>August 2024</v>
      </c>
      <c r="D275" t="s">
        <v>181</v>
      </c>
      <c r="E275" t="s">
        <v>50</v>
      </c>
      <c r="F275" t="s">
        <v>20</v>
      </c>
      <c r="G275" t="str">
        <f t="shared" si="13"/>
        <v>Campaign</v>
      </c>
      <c r="H275">
        <v>5</v>
      </c>
      <c r="I275" s="4">
        <v>0</v>
      </c>
      <c r="J275">
        <v>1849.9</v>
      </c>
      <c r="K275" s="6">
        <v>989.05</v>
      </c>
      <c r="L275" s="8">
        <f t="shared" si="14"/>
        <v>0.53465052164981886</v>
      </c>
    </row>
    <row r="276" spans="1:12" x14ac:dyDescent="0.2">
      <c r="A276" t="s">
        <v>502</v>
      </c>
      <c r="B276" s="1" t="d">
        <v>2024-11-13</v>
      </c>
      <c r="C276" s="1" t="str">
        <f t="shared" si="12"/>
        <v>November 2024</v>
      </c>
      <c r="D276" t="s">
        <v>404</v>
      </c>
      <c r="E276" t="s">
        <v>47</v>
      </c>
      <c r="F276" t="s">
        <v>1337</v>
      </c>
      <c r="G276" t="str">
        <f t="shared" si="13"/>
        <v>Non-Campaign</v>
      </c>
      <c r="H276">
        <v>5</v>
      </c>
      <c r="I276" s="4">
        <v>0</v>
      </c>
      <c r="J276">
        <v>1503</v>
      </c>
      <c r="K276" s="6">
        <v>362.05</v>
      </c>
      <c r="L276" s="8">
        <f t="shared" si="14"/>
        <v>0.24088489687292083</v>
      </c>
    </row>
    <row r="277" spans="1:12" x14ac:dyDescent="0.2">
      <c r="A277" t="s">
        <v>503</v>
      </c>
      <c r="B277" s="1" t="d">
        <v>2024-12-27</v>
      </c>
      <c r="C277" s="1" t="str">
        <f t="shared" si="12"/>
        <v>December 2024</v>
      </c>
      <c r="D277" t="s">
        <v>216</v>
      </c>
      <c r="E277" t="s">
        <v>50</v>
      </c>
      <c r="F277" t="s">
        <v>30</v>
      </c>
      <c r="G277" t="str">
        <f t="shared" si="13"/>
        <v>Campaign</v>
      </c>
      <c r="H277">
        <v>4</v>
      </c>
      <c r="I277" s="4">
        <v>0</v>
      </c>
      <c r="J277">
        <v>1479.92</v>
      </c>
      <c r="K277" s="6">
        <v>791.24</v>
      </c>
      <c r="L277" s="8">
        <f t="shared" si="14"/>
        <v>0.53465052164981886</v>
      </c>
    </row>
    <row r="278" spans="1:12" x14ac:dyDescent="0.2">
      <c r="A278" t="s">
        <v>504</v>
      </c>
      <c r="B278" s="1" t="d">
        <v>2025-04-02</v>
      </c>
      <c r="C278" s="1" t="str">
        <f t="shared" si="12"/>
        <v>April 2025</v>
      </c>
      <c r="D278" t="s">
        <v>505</v>
      </c>
      <c r="E278" t="s">
        <v>80</v>
      </c>
      <c r="F278" t="s">
        <v>12</v>
      </c>
      <c r="G278" t="str">
        <f t="shared" si="13"/>
        <v>Campaign</v>
      </c>
      <c r="H278">
        <v>4</v>
      </c>
      <c r="I278" s="4">
        <v>0.1</v>
      </c>
      <c r="J278">
        <v>529.09</v>
      </c>
      <c r="K278" s="6">
        <v>283.73</v>
      </c>
      <c r="L278" s="8">
        <f t="shared" si="14"/>
        <v>0.5362603715813945</v>
      </c>
    </row>
    <row r="279" spans="1:12" x14ac:dyDescent="0.2">
      <c r="A279" t="s">
        <v>506</v>
      </c>
      <c r="B279" s="1" t="d">
        <v>2025-06-19</v>
      </c>
      <c r="C279" s="1" t="str">
        <f t="shared" si="12"/>
        <v>June 2025</v>
      </c>
      <c r="D279" t="s">
        <v>460</v>
      </c>
      <c r="E279" t="s">
        <v>65</v>
      </c>
      <c r="F279" t="s">
        <v>20</v>
      </c>
      <c r="G279" t="str">
        <f t="shared" si="13"/>
        <v>Campaign</v>
      </c>
      <c r="H279">
        <v>4</v>
      </c>
      <c r="I279" s="4">
        <v>0</v>
      </c>
      <c r="J279">
        <v>387.16</v>
      </c>
      <c r="K279" s="6">
        <v>126.92</v>
      </c>
      <c r="L279" s="8">
        <f t="shared" si="14"/>
        <v>0.32782312222337018</v>
      </c>
    </row>
    <row r="280" spans="1:12" x14ac:dyDescent="0.2">
      <c r="A280" t="s">
        <v>507</v>
      </c>
      <c r="B280" s="1" t="d">
        <v>2024-10-10</v>
      </c>
      <c r="C280" s="1" t="str">
        <f t="shared" si="12"/>
        <v>October 2024</v>
      </c>
      <c r="D280" t="s">
        <v>508</v>
      </c>
      <c r="E280" t="s">
        <v>15</v>
      </c>
      <c r="F280" t="s">
        <v>1337</v>
      </c>
      <c r="G280" t="str">
        <f t="shared" si="13"/>
        <v>Non-Campaign</v>
      </c>
      <c r="H280">
        <v>5</v>
      </c>
      <c r="I280" s="4">
        <v>0.3</v>
      </c>
      <c r="J280">
        <v>1423.76</v>
      </c>
      <c r="K280" s="6">
        <v>42.21</v>
      </c>
      <c r="L280" s="8">
        <f t="shared" si="14"/>
        <v>2.964685059279654E-2</v>
      </c>
    </row>
    <row r="281" spans="1:12" x14ac:dyDescent="0.2">
      <c r="A281" t="s">
        <v>509</v>
      </c>
      <c r="B281" s="1" t="d">
        <v>2025-03-26</v>
      </c>
      <c r="C281" s="1" t="str">
        <f t="shared" si="12"/>
        <v>March 2025</v>
      </c>
      <c r="D281" t="s">
        <v>32</v>
      </c>
      <c r="E281" t="s">
        <v>35</v>
      </c>
      <c r="F281" t="s">
        <v>16</v>
      </c>
      <c r="G281" t="str">
        <f t="shared" si="13"/>
        <v>Campaign</v>
      </c>
      <c r="H281">
        <v>2</v>
      </c>
      <c r="I281" s="4">
        <v>0.05</v>
      </c>
      <c r="J281">
        <v>575.41999999999996</v>
      </c>
      <c r="K281" s="6">
        <v>137.04</v>
      </c>
      <c r="L281" s="8">
        <f t="shared" si="14"/>
        <v>0.23815647700809844</v>
      </c>
    </row>
    <row r="282" spans="1:12" x14ac:dyDescent="0.2">
      <c r="A282" t="s">
        <v>510</v>
      </c>
      <c r="B282" s="1" t="d">
        <v>2025-05-14</v>
      </c>
      <c r="C282" s="1" t="str">
        <f t="shared" si="12"/>
        <v>May 2025</v>
      </c>
      <c r="D282" t="s">
        <v>158</v>
      </c>
      <c r="E282" t="s">
        <v>148</v>
      </c>
      <c r="F282" t="s">
        <v>1337</v>
      </c>
      <c r="G282" t="str">
        <f t="shared" si="13"/>
        <v>Non-Campaign</v>
      </c>
      <c r="H282">
        <v>5</v>
      </c>
      <c r="I282" s="4">
        <v>0.1</v>
      </c>
      <c r="J282">
        <v>2227.37</v>
      </c>
      <c r="K282" s="6">
        <v>603.87</v>
      </c>
      <c r="L282" s="8">
        <f t="shared" si="14"/>
        <v>0.27111346565680605</v>
      </c>
    </row>
    <row r="283" spans="1:12" x14ac:dyDescent="0.2">
      <c r="A283" t="s">
        <v>511</v>
      </c>
      <c r="B283" s="1" t="d">
        <v>2024-07-08</v>
      </c>
      <c r="C283" s="1" t="str">
        <f t="shared" si="12"/>
        <v>July 2024</v>
      </c>
      <c r="D283" t="s">
        <v>308</v>
      </c>
      <c r="E283" t="s">
        <v>35</v>
      </c>
      <c r="F283" t="s">
        <v>1337</v>
      </c>
      <c r="G283" t="str">
        <f t="shared" si="13"/>
        <v>Non-Campaign</v>
      </c>
      <c r="H283">
        <v>3</v>
      </c>
      <c r="I283" s="4">
        <v>0.1</v>
      </c>
      <c r="J283">
        <v>817.7</v>
      </c>
      <c r="K283" s="6">
        <v>160.13</v>
      </c>
      <c r="L283" s="8">
        <f t="shared" si="14"/>
        <v>0.19582976641800171</v>
      </c>
    </row>
    <row r="284" spans="1:12" x14ac:dyDescent="0.2">
      <c r="A284" t="s">
        <v>512</v>
      </c>
      <c r="B284" s="1" t="d">
        <v>2024-11-24</v>
      </c>
      <c r="C284" s="1" t="str">
        <f t="shared" si="12"/>
        <v>November 2024</v>
      </c>
      <c r="D284" t="s">
        <v>230</v>
      </c>
      <c r="E284" t="s">
        <v>72</v>
      </c>
      <c r="F284" t="s">
        <v>20</v>
      </c>
      <c r="G284" t="str">
        <f t="shared" si="13"/>
        <v>Campaign</v>
      </c>
      <c r="H284">
        <v>2</v>
      </c>
      <c r="I284" s="4">
        <v>0.15</v>
      </c>
      <c r="J284">
        <v>109.68</v>
      </c>
      <c r="K284" s="6">
        <v>53.08</v>
      </c>
      <c r="L284" s="8">
        <f t="shared" si="14"/>
        <v>0.48395331874544123</v>
      </c>
    </row>
    <row r="285" spans="1:12" x14ac:dyDescent="0.2">
      <c r="A285" t="s">
        <v>513</v>
      </c>
      <c r="B285" s="1" t="d">
        <v>2025-03-20</v>
      </c>
      <c r="C285" s="1" t="str">
        <f t="shared" si="12"/>
        <v>March 2025</v>
      </c>
      <c r="D285" t="s">
        <v>158</v>
      </c>
      <c r="E285" t="s">
        <v>72</v>
      </c>
      <c r="F285" t="s">
        <v>16</v>
      </c>
      <c r="G285" t="str">
        <f t="shared" si="13"/>
        <v>Campaign</v>
      </c>
      <c r="H285">
        <v>2</v>
      </c>
      <c r="I285" s="4">
        <v>0.05</v>
      </c>
      <c r="J285">
        <v>122.59</v>
      </c>
      <c r="K285" s="6">
        <v>65.989999999999995</v>
      </c>
      <c r="L285" s="8">
        <f t="shared" si="14"/>
        <v>0.53829839301737492</v>
      </c>
    </row>
    <row r="286" spans="1:12" x14ac:dyDescent="0.2">
      <c r="A286" t="s">
        <v>514</v>
      </c>
      <c r="B286" s="1" t="d">
        <v>2024-12-01</v>
      </c>
      <c r="C286" s="1" t="str">
        <f t="shared" si="12"/>
        <v>December 2024</v>
      </c>
      <c r="D286" t="s">
        <v>232</v>
      </c>
      <c r="E286" t="s">
        <v>53</v>
      </c>
      <c r="F286" t="s">
        <v>1337</v>
      </c>
      <c r="G286" t="str">
        <f t="shared" si="13"/>
        <v>Non-Campaign</v>
      </c>
      <c r="H286">
        <v>2</v>
      </c>
      <c r="I286" s="4">
        <v>0.3</v>
      </c>
      <c r="J286">
        <v>468.45</v>
      </c>
      <c r="K286" s="6">
        <v>94.85</v>
      </c>
      <c r="L286" s="8">
        <f t="shared" si="14"/>
        <v>0.20247625146760592</v>
      </c>
    </row>
    <row r="287" spans="1:12" x14ac:dyDescent="0.2">
      <c r="A287" t="s">
        <v>515</v>
      </c>
      <c r="B287" s="1" t="d">
        <v>2025-03-25</v>
      </c>
      <c r="C287" s="1" t="str">
        <f t="shared" si="12"/>
        <v>March 2025</v>
      </c>
      <c r="D287" t="s">
        <v>516</v>
      </c>
      <c r="E287" t="s">
        <v>106</v>
      </c>
      <c r="F287" t="s">
        <v>16</v>
      </c>
      <c r="G287" t="str">
        <f t="shared" si="13"/>
        <v>Campaign</v>
      </c>
      <c r="H287">
        <v>5</v>
      </c>
      <c r="I287" s="4">
        <v>0.3</v>
      </c>
      <c r="J287">
        <v>691.92</v>
      </c>
      <c r="K287" s="6">
        <v>213.72</v>
      </c>
      <c r="L287" s="8">
        <f t="shared" si="14"/>
        <v>0.30887963926465489</v>
      </c>
    </row>
    <row r="288" spans="1:12" x14ac:dyDescent="0.2">
      <c r="A288" t="s">
        <v>517</v>
      </c>
      <c r="B288" s="1" t="d">
        <v>2024-09-17</v>
      </c>
      <c r="C288" s="1" t="str">
        <f t="shared" si="12"/>
        <v>September 2024</v>
      </c>
      <c r="D288" t="s">
        <v>404</v>
      </c>
      <c r="E288" t="s">
        <v>41</v>
      </c>
      <c r="F288" t="s">
        <v>1337</v>
      </c>
      <c r="G288" t="str">
        <f t="shared" si="13"/>
        <v>Non-Campaign</v>
      </c>
      <c r="H288">
        <v>4</v>
      </c>
      <c r="I288" s="4">
        <v>0.15</v>
      </c>
      <c r="J288">
        <v>1409.2</v>
      </c>
      <c r="K288" s="6">
        <v>212.2</v>
      </c>
      <c r="L288" s="8">
        <f t="shared" si="14"/>
        <v>0.15058189043428893</v>
      </c>
    </row>
    <row r="289" spans="1:12" x14ac:dyDescent="0.2">
      <c r="A289" t="s">
        <v>518</v>
      </c>
      <c r="B289" s="1" t="d">
        <v>2025-06-07</v>
      </c>
      <c r="C289" s="1" t="str">
        <f t="shared" si="12"/>
        <v>June 2025</v>
      </c>
      <c r="D289" t="s">
        <v>519</v>
      </c>
      <c r="E289" t="s">
        <v>41</v>
      </c>
      <c r="F289" t="s">
        <v>20</v>
      </c>
      <c r="G289" t="str">
        <f t="shared" si="13"/>
        <v>Campaign</v>
      </c>
      <c r="H289">
        <v>4</v>
      </c>
      <c r="I289" s="4">
        <v>0.2</v>
      </c>
      <c r="J289">
        <v>1326.3</v>
      </c>
      <c r="K289" s="6">
        <v>129.30000000000001</v>
      </c>
      <c r="L289" s="8">
        <f t="shared" si="14"/>
        <v>9.7489255824474111E-2</v>
      </c>
    </row>
    <row r="290" spans="1:12" x14ac:dyDescent="0.2">
      <c r="A290" t="s">
        <v>520</v>
      </c>
      <c r="B290" s="1" t="d">
        <v>2025-03-01</v>
      </c>
      <c r="C290" s="1" t="str">
        <f t="shared" si="12"/>
        <v>March 2025</v>
      </c>
      <c r="D290" t="s">
        <v>102</v>
      </c>
      <c r="E290" t="s">
        <v>53</v>
      </c>
      <c r="F290" t="s">
        <v>1337</v>
      </c>
      <c r="G290" t="str">
        <f t="shared" si="13"/>
        <v>Non-Campaign</v>
      </c>
      <c r="H290">
        <v>4</v>
      </c>
      <c r="I290" s="4">
        <v>0.15</v>
      </c>
      <c r="J290">
        <v>1137.67</v>
      </c>
      <c r="K290" s="6">
        <v>390.47</v>
      </c>
      <c r="L290" s="8">
        <f t="shared" si="14"/>
        <v>0.34321903539690773</v>
      </c>
    </row>
    <row r="291" spans="1:12" x14ac:dyDescent="0.2">
      <c r="A291" t="s">
        <v>521</v>
      </c>
      <c r="B291" s="1" t="d">
        <v>2025-05-13</v>
      </c>
      <c r="C291" s="1" t="str">
        <f t="shared" si="12"/>
        <v>May 2025</v>
      </c>
      <c r="D291" t="s">
        <v>265</v>
      </c>
      <c r="E291" t="s">
        <v>148</v>
      </c>
      <c r="F291" t="s">
        <v>12</v>
      </c>
      <c r="G291" t="str">
        <f t="shared" si="13"/>
        <v>Campaign</v>
      </c>
      <c r="H291">
        <v>1</v>
      </c>
      <c r="I291" s="4">
        <v>0.3</v>
      </c>
      <c r="J291">
        <v>346.48</v>
      </c>
      <c r="K291" s="6">
        <v>21.78</v>
      </c>
      <c r="L291" s="8">
        <f t="shared" si="14"/>
        <v>6.2860771184483952E-2</v>
      </c>
    </row>
    <row r="292" spans="1:12" x14ac:dyDescent="0.2">
      <c r="A292" t="s">
        <v>522</v>
      </c>
      <c r="B292" s="1" t="d">
        <v>2025-04-15</v>
      </c>
      <c r="C292" s="1" t="str">
        <f t="shared" si="12"/>
        <v>April 2025</v>
      </c>
      <c r="D292" t="s">
        <v>25</v>
      </c>
      <c r="E292" t="s">
        <v>41</v>
      </c>
      <c r="F292" t="s">
        <v>1337</v>
      </c>
      <c r="G292" t="str">
        <f t="shared" si="13"/>
        <v>Non-Campaign</v>
      </c>
      <c r="H292">
        <v>1</v>
      </c>
      <c r="I292" s="4">
        <v>0.2</v>
      </c>
      <c r="J292">
        <v>331.58</v>
      </c>
      <c r="K292" s="6">
        <v>32.33</v>
      </c>
      <c r="L292" s="8">
        <f t="shared" si="14"/>
        <v>9.7502865070269618E-2</v>
      </c>
    </row>
    <row r="293" spans="1:12" x14ac:dyDescent="0.2">
      <c r="A293" t="s">
        <v>523</v>
      </c>
      <c r="B293" s="1" t="d">
        <v>2024-12-23</v>
      </c>
      <c r="C293" s="1" t="str">
        <f t="shared" si="12"/>
        <v>December 2024</v>
      </c>
      <c r="D293" t="s">
        <v>127</v>
      </c>
      <c r="E293" t="s">
        <v>15</v>
      </c>
      <c r="F293" t="s">
        <v>1337</v>
      </c>
      <c r="G293" t="str">
        <f t="shared" si="13"/>
        <v>Non-Campaign</v>
      </c>
      <c r="H293">
        <v>2</v>
      </c>
      <c r="I293" s="4">
        <v>0.15</v>
      </c>
      <c r="J293">
        <v>691.54</v>
      </c>
      <c r="K293" s="6">
        <v>138.91999999999999</v>
      </c>
      <c r="L293" s="8">
        <f t="shared" si="14"/>
        <v>0.20088498134598143</v>
      </c>
    </row>
    <row r="294" spans="1:12" x14ac:dyDescent="0.2">
      <c r="A294" t="s">
        <v>524</v>
      </c>
      <c r="B294" s="1" t="d">
        <v>2025-06-27</v>
      </c>
      <c r="C294" s="1" t="str">
        <f t="shared" si="12"/>
        <v>June 2025</v>
      </c>
      <c r="D294" t="s">
        <v>404</v>
      </c>
      <c r="E294" t="s">
        <v>165</v>
      </c>
      <c r="F294" t="s">
        <v>109</v>
      </c>
      <c r="G294" t="str">
        <f t="shared" si="13"/>
        <v>Campaign</v>
      </c>
      <c r="H294">
        <v>3</v>
      </c>
      <c r="I294" s="4">
        <v>0.2</v>
      </c>
      <c r="J294">
        <v>191.81</v>
      </c>
      <c r="K294" s="6">
        <v>7.46</v>
      </c>
      <c r="L294" s="8">
        <f t="shared" si="14"/>
        <v>3.889265418904124E-2</v>
      </c>
    </row>
    <row r="295" spans="1:12" x14ac:dyDescent="0.2">
      <c r="A295" t="s">
        <v>525</v>
      </c>
      <c r="B295" s="1" t="d">
        <v>2025-04-25</v>
      </c>
      <c r="C295" s="1" t="str">
        <f t="shared" si="12"/>
        <v>April 2025</v>
      </c>
      <c r="D295" t="s">
        <v>526</v>
      </c>
      <c r="E295" t="s">
        <v>193</v>
      </c>
      <c r="F295" t="s">
        <v>1337</v>
      </c>
      <c r="G295" t="str">
        <f t="shared" si="13"/>
        <v>Non-Campaign</v>
      </c>
      <c r="H295">
        <v>3</v>
      </c>
      <c r="I295" s="4">
        <v>0.3</v>
      </c>
      <c r="J295">
        <v>697.07</v>
      </c>
      <c r="K295" s="6">
        <v>81.680000000000007</v>
      </c>
      <c r="L295" s="8">
        <f t="shared" si="14"/>
        <v>0.1171761802975311</v>
      </c>
    </row>
    <row r="296" spans="1:12" x14ac:dyDescent="0.2">
      <c r="A296" t="s">
        <v>527</v>
      </c>
      <c r="B296" s="1" t="d">
        <v>2024-10-12</v>
      </c>
      <c r="C296" s="1" t="str">
        <f t="shared" si="12"/>
        <v>October 2024</v>
      </c>
      <c r="D296" t="s">
        <v>64</v>
      </c>
      <c r="E296" t="s">
        <v>58</v>
      </c>
      <c r="F296" t="s">
        <v>20</v>
      </c>
      <c r="G296" t="str">
        <f t="shared" si="13"/>
        <v>Campaign</v>
      </c>
      <c r="H296">
        <v>4</v>
      </c>
      <c r="I296" s="4">
        <v>0</v>
      </c>
      <c r="J296">
        <v>276.8</v>
      </c>
      <c r="K296" s="6">
        <v>84.08</v>
      </c>
      <c r="L296" s="8">
        <f t="shared" si="14"/>
        <v>0.30375722543352601</v>
      </c>
    </row>
    <row r="297" spans="1:12" x14ac:dyDescent="0.2">
      <c r="A297" t="s">
        <v>528</v>
      </c>
      <c r="B297" s="1" t="d">
        <v>2025-04-24</v>
      </c>
      <c r="C297" s="1" t="str">
        <f t="shared" si="12"/>
        <v>April 2025</v>
      </c>
      <c r="D297" t="s">
        <v>529</v>
      </c>
      <c r="E297" t="s">
        <v>138</v>
      </c>
      <c r="F297" t="s">
        <v>16</v>
      </c>
      <c r="G297" t="str">
        <f t="shared" si="13"/>
        <v>Campaign</v>
      </c>
      <c r="H297">
        <v>4</v>
      </c>
      <c r="I297" s="4">
        <v>0.15</v>
      </c>
      <c r="J297">
        <v>1472.78</v>
      </c>
      <c r="K297" s="6">
        <v>771.74</v>
      </c>
      <c r="L297" s="8">
        <f t="shared" si="14"/>
        <v>0.52400222708075883</v>
      </c>
    </row>
    <row r="298" spans="1:12" x14ac:dyDescent="0.2">
      <c r="A298" t="s">
        <v>530</v>
      </c>
      <c r="B298" s="1" t="d">
        <v>2025-03-16</v>
      </c>
      <c r="C298" s="1" t="str">
        <f t="shared" si="12"/>
        <v>March 2025</v>
      </c>
      <c r="D298" t="s">
        <v>531</v>
      </c>
      <c r="E298" t="s">
        <v>19</v>
      </c>
      <c r="F298" t="s">
        <v>30</v>
      </c>
      <c r="G298" t="str">
        <f t="shared" si="13"/>
        <v>Campaign</v>
      </c>
      <c r="H298">
        <v>2</v>
      </c>
      <c r="I298" s="4">
        <v>0.3</v>
      </c>
      <c r="J298">
        <v>222.47</v>
      </c>
      <c r="K298" s="6">
        <v>85.19</v>
      </c>
      <c r="L298" s="8">
        <f t="shared" si="14"/>
        <v>0.38292803524070662</v>
      </c>
    </row>
    <row r="299" spans="1:12" x14ac:dyDescent="0.2">
      <c r="A299" t="s">
        <v>532</v>
      </c>
      <c r="B299" s="1" t="d">
        <v>2025-01-25</v>
      </c>
      <c r="C299" s="1" t="str">
        <f t="shared" si="12"/>
        <v>January 2025</v>
      </c>
      <c r="D299" t="s">
        <v>22</v>
      </c>
      <c r="E299" t="s">
        <v>35</v>
      </c>
      <c r="F299" t="s">
        <v>109</v>
      </c>
      <c r="G299" t="str">
        <f t="shared" si="13"/>
        <v>Campaign</v>
      </c>
      <c r="H299">
        <v>1</v>
      </c>
      <c r="I299" s="4">
        <v>0.3</v>
      </c>
      <c r="J299">
        <v>212</v>
      </c>
      <c r="K299" s="6">
        <v>-7.19</v>
      </c>
      <c r="L299" s="8">
        <f t="shared" si="14"/>
        <v>-3.3915094339622642E-2</v>
      </c>
    </row>
    <row r="300" spans="1:12" x14ac:dyDescent="0.2">
      <c r="A300" t="s">
        <v>533</v>
      </c>
      <c r="B300" s="1" t="d">
        <v>2025-05-25</v>
      </c>
      <c r="C300" s="1" t="str">
        <f t="shared" si="12"/>
        <v>May 2025</v>
      </c>
      <c r="D300" t="s">
        <v>273</v>
      </c>
      <c r="E300" t="s">
        <v>72</v>
      </c>
      <c r="F300" t="s">
        <v>20</v>
      </c>
      <c r="G300" t="str">
        <f t="shared" si="13"/>
        <v>Campaign</v>
      </c>
      <c r="H300">
        <v>3</v>
      </c>
      <c r="I300" s="4">
        <v>0.3</v>
      </c>
      <c r="J300">
        <v>135.49</v>
      </c>
      <c r="K300" s="6">
        <v>50.59</v>
      </c>
      <c r="L300" s="8">
        <f t="shared" si="14"/>
        <v>0.37338548970403718</v>
      </c>
    </row>
    <row r="301" spans="1:12" x14ac:dyDescent="0.2">
      <c r="A301" t="s">
        <v>534</v>
      </c>
      <c r="B301" s="1" t="d">
        <v>2024-08-21</v>
      </c>
      <c r="C301" s="1" t="str">
        <f t="shared" si="12"/>
        <v>August 2024</v>
      </c>
      <c r="D301" t="s">
        <v>465</v>
      </c>
      <c r="E301" t="s">
        <v>58</v>
      </c>
      <c r="F301" t="s">
        <v>1337</v>
      </c>
      <c r="G301" t="str">
        <f t="shared" si="13"/>
        <v>Non-Campaign</v>
      </c>
      <c r="H301">
        <v>3</v>
      </c>
      <c r="I301" s="4">
        <v>0.3</v>
      </c>
      <c r="J301">
        <v>145.32</v>
      </c>
      <c r="K301" s="6">
        <v>0.78</v>
      </c>
      <c r="L301" s="8">
        <f t="shared" si="14"/>
        <v>5.3674649050371595E-3</v>
      </c>
    </row>
    <row r="302" spans="1:12" x14ac:dyDescent="0.2">
      <c r="A302" t="s">
        <v>535</v>
      </c>
      <c r="B302" s="1" t="d">
        <v>2024-08-19</v>
      </c>
      <c r="C302" s="1" t="str">
        <f t="shared" si="12"/>
        <v>August 2024</v>
      </c>
      <c r="D302" t="s">
        <v>241</v>
      </c>
      <c r="E302" t="s">
        <v>19</v>
      </c>
      <c r="F302" t="s">
        <v>20</v>
      </c>
      <c r="G302" t="str">
        <f t="shared" si="13"/>
        <v>Campaign</v>
      </c>
      <c r="H302">
        <v>1</v>
      </c>
      <c r="I302" s="4">
        <v>0</v>
      </c>
      <c r="J302">
        <v>158.91</v>
      </c>
      <c r="K302" s="6">
        <v>90.27</v>
      </c>
      <c r="L302" s="8">
        <f t="shared" si="14"/>
        <v>0.56805739097602415</v>
      </c>
    </row>
    <row r="303" spans="1:12" x14ac:dyDescent="0.2">
      <c r="A303" t="s">
        <v>536</v>
      </c>
      <c r="B303" s="1" t="d">
        <v>2025-05-10</v>
      </c>
      <c r="C303" s="1" t="str">
        <f t="shared" si="12"/>
        <v>May 2025</v>
      </c>
      <c r="D303" t="s">
        <v>475</v>
      </c>
      <c r="E303" t="s">
        <v>106</v>
      </c>
      <c r="F303" t="s">
        <v>20</v>
      </c>
      <c r="G303" t="str">
        <f t="shared" si="13"/>
        <v>Campaign</v>
      </c>
      <c r="H303">
        <v>2</v>
      </c>
      <c r="I303" s="4">
        <v>0.2</v>
      </c>
      <c r="J303">
        <v>316.3</v>
      </c>
      <c r="K303" s="6">
        <v>125.02</v>
      </c>
      <c r="L303" s="8">
        <f t="shared" si="14"/>
        <v>0.39525766677205182</v>
      </c>
    </row>
    <row r="304" spans="1:12" x14ac:dyDescent="0.2">
      <c r="A304" t="s">
        <v>537</v>
      </c>
      <c r="B304" s="1" t="d">
        <v>2024-08-27</v>
      </c>
      <c r="C304" s="1" t="str">
        <f t="shared" si="12"/>
        <v>August 2024</v>
      </c>
      <c r="D304" t="s">
        <v>141</v>
      </c>
      <c r="E304" t="s">
        <v>38</v>
      </c>
      <c r="F304" t="s">
        <v>1337</v>
      </c>
      <c r="G304" t="str">
        <f t="shared" si="13"/>
        <v>Non-Campaign</v>
      </c>
      <c r="H304">
        <v>1</v>
      </c>
      <c r="I304" s="4">
        <v>0</v>
      </c>
      <c r="J304">
        <v>469.59</v>
      </c>
      <c r="K304" s="6">
        <v>160.03</v>
      </c>
      <c r="L304" s="8">
        <f t="shared" si="14"/>
        <v>0.34078664366788053</v>
      </c>
    </row>
    <row r="305" spans="1:12" x14ac:dyDescent="0.2">
      <c r="A305" t="s">
        <v>538</v>
      </c>
      <c r="B305" s="1" t="d">
        <v>2024-11-12</v>
      </c>
      <c r="C305" s="1" t="str">
        <f t="shared" si="12"/>
        <v>November 2024</v>
      </c>
      <c r="D305" t="s">
        <v>458</v>
      </c>
      <c r="E305" t="s">
        <v>130</v>
      </c>
      <c r="F305" t="s">
        <v>20</v>
      </c>
      <c r="G305" t="str">
        <f t="shared" si="13"/>
        <v>Campaign</v>
      </c>
      <c r="H305">
        <v>4</v>
      </c>
      <c r="I305" s="4">
        <v>0.3</v>
      </c>
      <c r="J305">
        <v>1071.78</v>
      </c>
      <c r="K305" s="6">
        <v>-68.06</v>
      </c>
      <c r="L305" s="8">
        <f t="shared" si="14"/>
        <v>-6.3501838063781749E-2</v>
      </c>
    </row>
    <row r="306" spans="1:12" x14ac:dyDescent="0.2">
      <c r="A306" t="s">
        <v>539</v>
      </c>
      <c r="B306" s="1" t="d">
        <v>2025-02-15</v>
      </c>
      <c r="C306" s="1" t="str">
        <f t="shared" si="12"/>
        <v>February 2025</v>
      </c>
      <c r="D306" t="s">
        <v>292</v>
      </c>
      <c r="E306" t="s">
        <v>106</v>
      </c>
      <c r="F306" t="s">
        <v>20</v>
      </c>
      <c r="G306" t="str">
        <f t="shared" si="13"/>
        <v>Campaign</v>
      </c>
      <c r="H306">
        <v>2</v>
      </c>
      <c r="I306" s="4">
        <v>0.15</v>
      </c>
      <c r="J306">
        <v>336.07</v>
      </c>
      <c r="K306" s="6">
        <v>144.79</v>
      </c>
      <c r="L306" s="8">
        <f t="shared" si="14"/>
        <v>0.4308328622013271</v>
      </c>
    </row>
    <row r="307" spans="1:12" x14ac:dyDescent="0.2">
      <c r="A307" t="s">
        <v>540</v>
      </c>
      <c r="B307" s="1" t="d">
        <v>2025-05-25</v>
      </c>
      <c r="C307" s="1" t="str">
        <f t="shared" si="12"/>
        <v>May 2025</v>
      </c>
      <c r="D307" t="s">
        <v>414</v>
      </c>
      <c r="E307" t="s">
        <v>85</v>
      </c>
      <c r="F307" t="s">
        <v>20</v>
      </c>
      <c r="G307" t="str">
        <f t="shared" si="13"/>
        <v>Campaign</v>
      </c>
      <c r="H307">
        <v>1</v>
      </c>
      <c r="I307" s="4">
        <v>0.1</v>
      </c>
      <c r="J307">
        <v>132.43</v>
      </c>
      <c r="K307" s="6">
        <v>59.06</v>
      </c>
      <c r="L307" s="8">
        <f t="shared" si="14"/>
        <v>0.44597145661859094</v>
      </c>
    </row>
    <row r="308" spans="1:12" x14ac:dyDescent="0.2">
      <c r="A308" t="s">
        <v>541</v>
      </c>
      <c r="B308" s="1" t="d">
        <v>2025-02-12</v>
      </c>
      <c r="C308" s="1" t="str">
        <f t="shared" si="12"/>
        <v>February 2025</v>
      </c>
      <c r="D308" t="s">
        <v>67</v>
      </c>
      <c r="E308" t="s">
        <v>135</v>
      </c>
      <c r="F308" t="s">
        <v>109</v>
      </c>
      <c r="G308" t="str">
        <f t="shared" si="13"/>
        <v>Campaign</v>
      </c>
      <c r="H308">
        <v>2</v>
      </c>
      <c r="I308" s="4">
        <v>0.15</v>
      </c>
      <c r="J308">
        <v>345.41</v>
      </c>
      <c r="K308" s="6">
        <v>20.95</v>
      </c>
      <c r="L308" s="8">
        <f t="shared" si="14"/>
        <v>6.0652557829825419E-2</v>
      </c>
    </row>
    <row r="309" spans="1:12" x14ac:dyDescent="0.2">
      <c r="A309" t="s">
        <v>542</v>
      </c>
      <c r="B309" s="1" t="d">
        <v>2025-05-18</v>
      </c>
      <c r="C309" s="1" t="str">
        <f t="shared" si="12"/>
        <v>May 2025</v>
      </c>
      <c r="D309" t="s">
        <v>543</v>
      </c>
      <c r="E309" t="s">
        <v>41</v>
      </c>
      <c r="F309" t="s">
        <v>16</v>
      </c>
      <c r="G309" t="str">
        <f t="shared" si="13"/>
        <v>Campaign</v>
      </c>
      <c r="H309">
        <v>1</v>
      </c>
      <c r="I309" s="4">
        <v>0.2</v>
      </c>
      <c r="J309">
        <v>331.58</v>
      </c>
      <c r="K309" s="6">
        <v>32.33</v>
      </c>
      <c r="L309" s="8">
        <f t="shared" si="14"/>
        <v>9.7502865070269618E-2</v>
      </c>
    </row>
    <row r="310" spans="1:12" x14ac:dyDescent="0.2">
      <c r="A310" t="s">
        <v>544</v>
      </c>
      <c r="B310" s="1" t="d">
        <v>2024-10-30</v>
      </c>
      <c r="C310" s="1" t="str">
        <f t="shared" si="12"/>
        <v>October 2024</v>
      </c>
      <c r="D310" t="s">
        <v>354</v>
      </c>
      <c r="E310" t="s">
        <v>29</v>
      </c>
      <c r="F310" t="s">
        <v>16</v>
      </c>
      <c r="G310" t="str">
        <f t="shared" si="13"/>
        <v>Campaign</v>
      </c>
      <c r="H310">
        <v>4</v>
      </c>
      <c r="I310" s="4">
        <v>0.1</v>
      </c>
      <c r="J310">
        <v>1353.38</v>
      </c>
      <c r="K310" s="6">
        <v>604.58000000000004</v>
      </c>
      <c r="L310" s="8">
        <f t="shared" si="14"/>
        <v>0.44671858605860881</v>
      </c>
    </row>
    <row r="311" spans="1:12" x14ac:dyDescent="0.2">
      <c r="A311" t="s">
        <v>545</v>
      </c>
      <c r="B311" s="1" t="d">
        <v>2024-07-31</v>
      </c>
      <c r="C311" s="1" t="str">
        <f t="shared" si="12"/>
        <v>July 2024</v>
      </c>
      <c r="D311" t="s">
        <v>475</v>
      </c>
      <c r="E311" t="s">
        <v>41</v>
      </c>
      <c r="F311" t="s">
        <v>16</v>
      </c>
      <c r="G311" t="str">
        <f t="shared" si="13"/>
        <v>Campaign</v>
      </c>
      <c r="H311">
        <v>4</v>
      </c>
      <c r="I311" s="4">
        <v>0.2</v>
      </c>
      <c r="J311">
        <v>1326.3</v>
      </c>
      <c r="K311" s="6">
        <v>129.30000000000001</v>
      </c>
      <c r="L311" s="8">
        <f t="shared" si="14"/>
        <v>9.7489255824474111E-2</v>
      </c>
    </row>
    <row r="312" spans="1:12" x14ac:dyDescent="0.2">
      <c r="A312" t="s">
        <v>546</v>
      </c>
      <c r="B312" s="1" t="d">
        <v>2025-05-11</v>
      </c>
      <c r="C312" s="1" t="str">
        <f t="shared" si="12"/>
        <v>May 2025</v>
      </c>
      <c r="D312" t="s">
        <v>547</v>
      </c>
      <c r="E312" t="s">
        <v>65</v>
      </c>
      <c r="F312" t="s">
        <v>30</v>
      </c>
      <c r="G312" t="str">
        <f t="shared" si="13"/>
        <v>Campaign</v>
      </c>
      <c r="H312">
        <v>1</v>
      </c>
      <c r="I312" s="4">
        <v>0</v>
      </c>
      <c r="J312">
        <v>96.79</v>
      </c>
      <c r="K312" s="6">
        <v>31.73</v>
      </c>
      <c r="L312" s="8">
        <f t="shared" si="14"/>
        <v>0.32782312222337018</v>
      </c>
    </row>
    <row r="313" spans="1:12" x14ac:dyDescent="0.2">
      <c r="A313" t="s">
        <v>548</v>
      </c>
      <c r="B313" s="1" t="d">
        <v>2025-01-30</v>
      </c>
      <c r="C313" s="1" t="str">
        <f t="shared" si="12"/>
        <v>January 2025</v>
      </c>
      <c r="D313" t="s">
        <v>267</v>
      </c>
      <c r="E313" t="s">
        <v>47</v>
      </c>
      <c r="F313" t="s">
        <v>20</v>
      </c>
      <c r="G313" t="str">
        <f t="shared" si="13"/>
        <v>Campaign</v>
      </c>
      <c r="H313">
        <v>5</v>
      </c>
      <c r="I313" s="4">
        <v>0.3</v>
      </c>
      <c r="J313">
        <v>1052.0999999999999</v>
      </c>
      <c r="K313" s="6">
        <v>-88.85</v>
      </c>
      <c r="L313" s="8">
        <f t="shared" si="14"/>
        <v>-8.4450147324398817E-2</v>
      </c>
    </row>
    <row r="314" spans="1:12" x14ac:dyDescent="0.2">
      <c r="A314" t="s">
        <v>549</v>
      </c>
      <c r="B314" s="1" t="d">
        <v>2025-01-07</v>
      </c>
      <c r="C314" s="1" t="str">
        <f t="shared" si="12"/>
        <v>January 2025</v>
      </c>
      <c r="D314" t="s">
        <v>550</v>
      </c>
      <c r="E314" t="s">
        <v>44</v>
      </c>
      <c r="F314" t="s">
        <v>1337</v>
      </c>
      <c r="G314" t="str">
        <f t="shared" si="13"/>
        <v>Non-Campaign</v>
      </c>
      <c r="H314">
        <v>3</v>
      </c>
      <c r="I314" s="4">
        <v>0.05</v>
      </c>
      <c r="J314">
        <v>458.08</v>
      </c>
      <c r="K314" s="6">
        <v>143.94999999999999</v>
      </c>
      <c r="L314" s="8">
        <f t="shared" si="14"/>
        <v>0.31424641983932938</v>
      </c>
    </row>
    <row r="315" spans="1:12" x14ac:dyDescent="0.2">
      <c r="A315" t="s">
        <v>551</v>
      </c>
      <c r="B315" s="1" t="d">
        <v>2024-08-27</v>
      </c>
      <c r="C315" s="1" t="str">
        <f t="shared" si="12"/>
        <v>August 2024</v>
      </c>
      <c r="D315" t="s">
        <v>505</v>
      </c>
      <c r="E315" t="s">
        <v>72</v>
      </c>
      <c r="F315" t="s">
        <v>20</v>
      </c>
      <c r="G315" t="str">
        <f t="shared" si="13"/>
        <v>Campaign</v>
      </c>
      <c r="H315">
        <v>2</v>
      </c>
      <c r="I315" s="4">
        <v>0.2</v>
      </c>
      <c r="J315">
        <v>103.23</v>
      </c>
      <c r="K315" s="6">
        <v>46.63</v>
      </c>
      <c r="L315" s="8">
        <f t="shared" si="14"/>
        <v>0.45170977429041947</v>
      </c>
    </row>
    <row r="316" spans="1:12" x14ac:dyDescent="0.2">
      <c r="A316" t="s">
        <v>552</v>
      </c>
      <c r="B316" s="1" t="d">
        <v>2025-03-17</v>
      </c>
      <c r="C316" s="1" t="str">
        <f t="shared" si="12"/>
        <v>March 2025</v>
      </c>
      <c r="D316" t="s">
        <v>553</v>
      </c>
      <c r="E316" t="s">
        <v>47</v>
      </c>
      <c r="F316" t="s">
        <v>12</v>
      </c>
      <c r="G316" t="str">
        <f t="shared" si="13"/>
        <v>Campaign</v>
      </c>
      <c r="H316">
        <v>3</v>
      </c>
      <c r="I316" s="4">
        <v>0.05</v>
      </c>
      <c r="J316">
        <v>856.71</v>
      </c>
      <c r="K316" s="6">
        <v>172.14</v>
      </c>
      <c r="L316" s="8">
        <f t="shared" si="14"/>
        <v>0.20093147039254822</v>
      </c>
    </row>
    <row r="317" spans="1:12" x14ac:dyDescent="0.2">
      <c r="A317" t="s">
        <v>554</v>
      </c>
      <c r="B317" s="1" t="d">
        <v>2025-06-01</v>
      </c>
      <c r="C317" s="1" t="str">
        <f t="shared" si="12"/>
        <v>June 2025</v>
      </c>
      <c r="D317" t="s">
        <v>71</v>
      </c>
      <c r="E317" t="s">
        <v>75</v>
      </c>
      <c r="F317" t="s">
        <v>30</v>
      </c>
      <c r="G317" t="str">
        <f t="shared" si="13"/>
        <v>Campaign</v>
      </c>
      <c r="H317">
        <v>4</v>
      </c>
      <c r="I317" s="4">
        <v>0.1</v>
      </c>
      <c r="J317">
        <v>632.38</v>
      </c>
      <c r="K317" s="6">
        <v>135.38</v>
      </c>
      <c r="L317" s="8">
        <f t="shared" si="14"/>
        <v>0.21408014168696038</v>
      </c>
    </row>
    <row r="318" spans="1:12" x14ac:dyDescent="0.2">
      <c r="A318" t="s">
        <v>555</v>
      </c>
      <c r="B318" s="1" t="d">
        <v>2024-10-21</v>
      </c>
      <c r="C318" s="1" t="str">
        <f t="shared" si="12"/>
        <v>October 2024</v>
      </c>
      <c r="D318" t="s">
        <v>556</v>
      </c>
      <c r="E318" t="s">
        <v>119</v>
      </c>
      <c r="F318" t="s">
        <v>30</v>
      </c>
      <c r="G318" t="str">
        <f t="shared" si="13"/>
        <v>Campaign</v>
      </c>
      <c r="H318">
        <v>4</v>
      </c>
      <c r="I318" s="4">
        <v>0.15</v>
      </c>
      <c r="J318">
        <v>425.92</v>
      </c>
      <c r="K318" s="6">
        <v>25.56</v>
      </c>
      <c r="L318" s="8">
        <f t="shared" si="14"/>
        <v>6.0011269722013517E-2</v>
      </c>
    </row>
    <row r="319" spans="1:12" x14ac:dyDescent="0.2">
      <c r="A319" t="s">
        <v>557</v>
      </c>
      <c r="B319" s="1" t="d">
        <v>2024-10-29</v>
      </c>
      <c r="C319" s="1" t="str">
        <f t="shared" si="12"/>
        <v>October 2024</v>
      </c>
      <c r="D319" t="s">
        <v>285</v>
      </c>
      <c r="E319" t="s">
        <v>103</v>
      </c>
      <c r="F319" t="s">
        <v>1337</v>
      </c>
      <c r="G319" t="str">
        <f t="shared" si="13"/>
        <v>Non-Campaign</v>
      </c>
      <c r="H319">
        <v>5</v>
      </c>
      <c r="I319" s="4">
        <v>0</v>
      </c>
      <c r="J319">
        <v>473.15</v>
      </c>
      <c r="K319" s="6">
        <v>102.75</v>
      </c>
      <c r="L319" s="8">
        <f t="shared" si="14"/>
        <v>0.21716157666701894</v>
      </c>
    </row>
    <row r="320" spans="1:12" x14ac:dyDescent="0.2">
      <c r="A320" t="s">
        <v>558</v>
      </c>
      <c r="B320" s="1" t="d">
        <v>2024-07-16</v>
      </c>
      <c r="C320" s="1" t="str">
        <f t="shared" si="12"/>
        <v>July 2024</v>
      </c>
      <c r="D320" t="s">
        <v>18</v>
      </c>
      <c r="E320" t="s">
        <v>135</v>
      </c>
      <c r="F320" t="s">
        <v>12</v>
      </c>
      <c r="G320" t="str">
        <f t="shared" si="13"/>
        <v>Campaign</v>
      </c>
      <c r="H320">
        <v>3</v>
      </c>
      <c r="I320" s="4">
        <v>0.1</v>
      </c>
      <c r="J320">
        <v>548.59</v>
      </c>
      <c r="K320" s="6">
        <v>61.9</v>
      </c>
      <c r="L320" s="8">
        <f t="shared" si="14"/>
        <v>0.11283472174119104</v>
      </c>
    </row>
    <row r="321" spans="1:12" x14ac:dyDescent="0.2">
      <c r="A321" t="s">
        <v>559</v>
      </c>
      <c r="B321" s="1" t="d">
        <v>2025-01-19</v>
      </c>
      <c r="C321" s="1" t="str">
        <f t="shared" si="12"/>
        <v>January 2025</v>
      </c>
      <c r="D321" t="s">
        <v>292</v>
      </c>
      <c r="E321" t="s">
        <v>177</v>
      </c>
      <c r="F321" t="s">
        <v>1337</v>
      </c>
      <c r="G321" t="str">
        <f t="shared" si="13"/>
        <v>Non-Campaign</v>
      </c>
      <c r="H321">
        <v>3</v>
      </c>
      <c r="I321" s="4">
        <v>0.2</v>
      </c>
      <c r="J321">
        <v>269.52</v>
      </c>
      <c r="K321" s="6">
        <v>125.4</v>
      </c>
      <c r="L321" s="8">
        <f t="shared" si="14"/>
        <v>0.46527159394479078</v>
      </c>
    </row>
    <row r="322" spans="1:12" x14ac:dyDescent="0.2">
      <c r="A322" t="s">
        <v>560</v>
      </c>
      <c r="B322" s="1" t="d">
        <v>2024-10-08</v>
      </c>
      <c r="C322" s="1" t="str">
        <f t="shared" ref="C322:C385" si="15">TEXT(B322, "mmmm yyyy")</f>
        <v>October 2024</v>
      </c>
      <c r="D322" t="s">
        <v>561</v>
      </c>
      <c r="E322" t="s">
        <v>47</v>
      </c>
      <c r="F322" t="s">
        <v>1337</v>
      </c>
      <c r="G322" t="str">
        <f t="shared" ref="G322:G385" si="16">IF(F322="No Campaign", "Non-Campaign", "Campaign")</f>
        <v>Non-Campaign</v>
      </c>
      <c r="H322">
        <v>1</v>
      </c>
      <c r="I322" s="4">
        <v>0</v>
      </c>
      <c r="J322">
        <v>300.60000000000002</v>
      </c>
      <c r="K322" s="6">
        <v>72.41</v>
      </c>
      <c r="L322" s="8">
        <f t="shared" ref="L322:L385" si="17">IF(J322=0, 0,K322/J322)</f>
        <v>0.24088489687292081</v>
      </c>
    </row>
    <row r="323" spans="1:12" x14ac:dyDescent="0.2">
      <c r="A323" t="s">
        <v>562</v>
      </c>
      <c r="B323" s="1" t="d">
        <v>2024-10-18</v>
      </c>
      <c r="C323" s="1" t="str">
        <f t="shared" si="15"/>
        <v>October 2024</v>
      </c>
      <c r="D323" t="s">
        <v>37</v>
      </c>
      <c r="E323" t="s">
        <v>29</v>
      </c>
      <c r="F323" t="s">
        <v>109</v>
      </c>
      <c r="G323" t="str">
        <f t="shared" si="16"/>
        <v>Campaign</v>
      </c>
      <c r="H323">
        <v>2</v>
      </c>
      <c r="I323" s="4">
        <v>0</v>
      </c>
      <c r="J323">
        <v>751.88</v>
      </c>
      <c r="K323" s="6">
        <v>377.48</v>
      </c>
      <c r="L323" s="8">
        <f t="shared" si="17"/>
        <v>0.5020481991807203</v>
      </c>
    </row>
    <row r="324" spans="1:12" x14ac:dyDescent="0.2">
      <c r="A324" t="s">
        <v>563</v>
      </c>
      <c r="B324" s="1" t="d">
        <v>2025-02-04</v>
      </c>
      <c r="C324" s="1" t="str">
        <f t="shared" si="15"/>
        <v>February 2025</v>
      </c>
      <c r="D324" t="s">
        <v>158</v>
      </c>
      <c r="E324" t="s">
        <v>119</v>
      </c>
      <c r="F324" t="s">
        <v>1337</v>
      </c>
      <c r="G324" t="str">
        <f t="shared" si="16"/>
        <v>Non-Campaign</v>
      </c>
      <c r="H324">
        <v>5</v>
      </c>
      <c r="I324" s="4">
        <v>0.1</v>
      </c>
      <c r="J324">
        <v>563.72</v>
      </c>
      <c r="K324" s="6">
        <v>63.27</v>
      </c>
      <c r="L324" s="8">
        <f t="shared" si="17"/>
        <v>0.11223657134747747</v>
      </c>
    </row>
    <row r="325" spans="1:12" x14ac:dyDescent="0.2">
      <c r="A325" t="s">
        <v>564</v>
      </c>
      <c r="B325" s="1" t="d">
        <v>2025-06-24</v>
      </c>
      <c r="C325" s="1" t="str">
        <f t="shared" si="15"/>
        <v>June 2025</v>
      </c>
      <c r="D325" t="s">
        <v>565</v>
      </c>
      <c r="E325" t="s">
        <v>47</v>
      </c>
      <c r="F325" t="s">
        <v>1337</v>
      </c>
      <c r="G325" t="str">
        <f t="shared" si="16"/>
        <v>Non-Campaign</v>
      </c>
      <c r="H325">
        <v>4</v>
      </c>
      <c r="I325" s="4">
        <v>0.3</v>
      </c>
      <c r="J325">
        <v>841.68</v>
      </c>
      <c r="K325" s="6">
        <v>-71.08</v>
      </c>
      <c r="L325" s="8">
        <f t="shared" si="17"/>
        <v>-8.445014732439883E-2</v>
      </c>
    </row>
    <row r="326" spans="1:12" x14ac:dyDescent="0.2">
      <c r="A326" t="s">
        <v>566</v>
      </c>
      <c r="B326" s="1" t="d">
        <v>2024-12-22</v>
      </c>
      <c r="C326" s="1" t="str">
        <f t="shared" si="15"/>
        <v>December 2024</v>
      </c>
      <c r="D326" t="s">
        <v>567</v>
      </c>
      <c r="E326" t="s">
        <v>26</v>
      </c>
      <c r="F326" t="s">
        <v>16</v>
      </c>
      <c r="G326" t="str">
        <f t="shared" si="16"/>
        <v>Campaign</v>
      </c>
      <c r="H326">
        <v>3</v>
      </c>
      <c r="I326" s="4">
        <v>0</v>
      </c>
      <c r="J326">
        <v>667.56</v>
      </c>
      <c r="K326" s="6">
        <v>392.58</v>
      </c>
      <c r="L326" s="8">
        <f t="shared" si="17"/>
        <v>0.58808197015998565</v>
      </c>
    </row>
    <row r="327" spans="1:12" x14ac:dyDescent="0.2">
      <c r="A327" t="s">
        <v>568</v>
      </c>
      <c r="B327" s="1" t="d">
        <v>2024-10-16</v>
      </c>
      <c r="C327" s="1" t="str">
        <f t="shared" si="15"/>
        <v>October 2024</v>
      </c>
      <c r="D327" t="s">
        <v>60</v>
      </c>
      <c r="E327" t="s">
        <v>26</v>
      </c>
      <c r="F327" t="s">
        <v>30</v>
      </c>
      <c r="G327" t="str">
        <f t="shared" si="16"/>
        <v>Campaign</v>
      </c>
      <c r="H327">
        <v>2</v>
      </c>
      <c r="I327" s="4">
        <v>0.2</v>
      </c>
      <c r="J327">
        <v>356.03</v>
      </c>
      <c r="K327" s="6">
        <v>172.71</v>
      </c>
      <c r="L327" s="8">
        <f t="shared" si="17"/>
        <v>0.48509957026093314</v>
      </c>
    </row>
    <row r="328" spans="1:12" x14ac:dyDescent="0.2">
      <c r="A328" t="s">
        <v>569</v>
      </c>
      <c r="B328" s="1" t="d">
        <v>2025-02-04</v>
      </c>
      <c r="C328" s="1" t="str">
        <f t="shared" si="15"/>
        <v>February 2025</v>
      </c>
      <c r="D328" t="s">
        <v>265</v>
      </c>
      <c r="E328" t="s">
        <v>177</v>
      </c>
      <c r="F328" t="s">
        <v>20</v>
      </c>
      <c r="G328" t="str">
        <f t="shared" si="16"/>
        <v>Campaign</v>
      </c>
      <c r="H328">
        <v>3</v>
      </c>
      <c r="I328" s="4">
        <v>0.3</v>
      </c>
      <c r="J328">
        <v>235.83</v>
      </c>
      <c r="K328" s="6">
        <v>91.71</v>
      </c>
      <c r="L328" s="8">
        <f t="shared" si="17"/>
        <v>0.3888818216511894</v>
      </c>
    </row>
    <row r="329" spans="1:12" x14ac:dyDescent="0.2">
      <c r="A329" t="s">
        <v>570</v>
      </c>
      <c r="B329" s="1" t="d">
        <v>2025-01-07</v>
      </c>
      <c r="C329" s="1" t="str">
        <f t="shared" si="15"/>
        <v>January 2025</v>
      </c>
      <c r="D329" t="s">
        <v>394</v>
      </c>
      <c r="E329" t="s">
        <v>85</v>
      </c>
      <c r="F329" t="s">
        <v>30</v>
      </c>
      <c r="G329" t="str">
        <f t="shared" si="16"/>
        <v>Campaign</v>
      </c>
      <c r="H329">
        <v>1</v>
      </c>
      <c r="I329" s="4">
        <v>0.05</v>
      </c>
      <c r="J329">
        <v>139.78</v>
      </c>
      <c r="K329" s="6">
        <v>66.41</v>
      </c>
      <c r="L329" s="8">
        <f t="shared" si="17"/>
        <v>0.475103734439834</v>
      </c>
    </row>
    <row r="330" spans="1:12" x14ac:dyDescent="0.2">
      <c r="A330" t="s">
        <v>571</v>
      </c>
      <c r="B330" s="1" t="d">
        <v>2024-12-30</v>
      </c>
      <c r="C330" s="1" t="str">
        <f t="shared" si="15"/>
        <v>December 2024</v>
      </c>
      <c r="D330" t="s">
        <v>572</v>
      </c>
      <c r="E330" t="s">
        <v>138</v>
      </c>
      <c r="F330" t="s">
        <v>1337</v>
      </c>
      <c r="G330" t="str">
        <f t="shared" si="16"/>
        <v>Non-Campaign</v>
      </c>
      <c r="H330">
        <v>1</v>
      </c>
      <c r="I330" s="4">
        <v>0.15</v>
      </c>
      <c r="J330">
        <v>368.19</v>
      </c>
      <c r="K330" s="6">
        <v>192.93</v>
      </c>
      <c r="L330" s="8">
        <f t="shared" si="17"/>
        <v>0.52399576305711726</v>
      </c>
    </row>
    <row r="331" spans="1:12" x14ac:dyDescent="0.2">
      <c r="A331" t="s">
        <v>573</v>
      </c>
      <c r="B331" s="1" t="d">
        <v>2024-12-10</v>
      </c>
      <c r="C331" s="1" t="str">
        <f t="shared" si="15"/>
        <v>December 2024</v>
      </c>
      <c r="D331" t="s">
        <v>574</v>
      </c>
      <c r="E331" t="s">
        <v>80</v>
      </c>
      <c r="F331" t="s">
        <v>16</v>
      </c>
      <c r="G331" t="str">
        <f t="shared" si="16"/>
        <v>Campaign</v>
      </c>
      <c r="H331">
        <v>1</v>
      </c>
      <c r="I331" s="4">
        <v>0</v>
      </c>
      <c r="J331">
        <v>146.97</v>
      </c>
      <c r="K331" s="6">
        <v>85.63</v>
      </c>
      <c r="L331" s="8">
        <f t="shared" si="17"/>
        <v>0.58263591209090293</v>
      </c>
    </row>
    <row r="332" spans="1:12" x14ac:dyDescent="0.2">
      <c r="A332" t="s">
        <v>575</v>
      </c>
      <c r="B332" s="1" t="d">
        <v>2025-01-17</v>
      </c>
      <c r="C332" s="1" t="str">
        <f t="shared" si="15"/>
        <v>January 2025</v>
      </c>
      <c r="D332" t="s">
        <v>198</v>
      </c>
      <c r="E332" t="s">
        <v>53</v>
      </c>
      <c r="F332" t="s">
        <v>12</v>
      </c>
      <c r="G332" t="str">
        <f t="shared" si="16"/>
        <v>Campaign</v>
      </c>
      <c r="H332">
        <v>2</v>
      </c>
      <c r="I332" s="4">
        <v>0.15</v>
      </c>
      <c r="J332">
        <v>568.84</v>
      </c>
      <c r="K332" s="6">
        <v>195.24</v>
      </c>
      <c r="L332" s="8">
        <f t="shared" si="17"/>
        <v>0.34322480838197034</v>
      </c>
    </row>
    <row r="333" spans="1:12" x14ac:dyDescent="0.2">
      <c r="A333" t="s">
        <v>576</v>
      </c>
      <c r="B333" s="1" t="d">
        <v>2024-12-12</v>
      </c>
      <c r="C333" s="1" t="str">
        <f t="shared" si="15"/>
        <v>December 2024</v>
      </c>
      <c r="D333" t="s">
        <v>312</v>
      </c>
      <c r="E333" t="s">
        <v>38</v>
      </c>
      <c r="F333" t="s">
        <v>109</v>
      </c>
      <c r="G333" t="str">
        <f t="shared" si="16"/>
        <v>Campaign</v>
      </c>
      <c r="H333">
        <v>2</v>
      </c>
      <c r="I333" s="4">
        <v>0.1</v>
      </c>
      <c r="J333">
        <v>845.26</v>
      </c>
      <c r="K333" s="6">
        <v>226.14</v>
      </c>
      <c r="L333" s="8">
        <f t="shared" si="17"/>
        <v>0.26753898208835147</v>
      </c>
    </row>
    <row r="334" spans="1:12" x14ac:dyDescent="0.2">
      <c r="A334" t="s">
        <v>577</v>
      </c>
      <c r="B334" s="1" t="d">
        <v>2024-08-16</v>
      </c>
      <c r="C334" s="1" t="str">
        <f t="shared" si="15"/>
        <v>August 2024</v>
      </c>
      <c r="D334" t="s">
        <v>578</v>
      </c>
      <c r="E334" t="s">
        <v>85</v>
      </c>
      <c r="F334" t="s">
        <v>109</v>
      </c>
      <c r="G334" t="str">
        <f t="shared" si="16"/>
        <v>Campaign</v>
      </c>
      <c r="H334">
        <v>1</v>
      </c>
      <c r="I334" s="4">
        <v>0</v>
      </c>
      <c r="J334">
        <v>147.13999999999999</v>
      </c>
      <c r="K334" s="6">
        <v>73.77</v>
      </c>
      <c r="L334" s="8">
        <f t="shared" si="17"/>
        <v>0.50135924969416878</v>
      </c>
    </row>
    <row r="335" spans="1:12" x14ac:dyDescent="0.2">
      <c r="A335" t="s">
        <v>579</v>
      </c>
      <c r="B335" s="1" t="d">
        <v>2024-06-30</v>
      </c>
      <c r="C335" s="1" t="str">
        <f t="shared" si="15"/>
        <v>June 2024</v>
      </c>
      <c r="D335" t="s">
        <v>580</v>
      </c>
      <c r="E335" t="s">
        <v>119</v>
      </c>
      <c r="F335" t="s">
        <v>1337</v>
      </c>
      <c r="G335" t="str">
        <f t="shared" si="16"/>
        <v>Non-Campaign</v>
      </c>
      <c r="H335">
        <v>3</v>
      </c>
      <c r="I335" s="4">
        <v>0.2</v>
      </c>
      <c r="J335">
        <v>300.64999999999998</v>
      </c>
      <c r="K335" s="6">
        <v>0.38</v>
      </c>
      <c r="L335" s="8">
        <f t="shared" si="17"/>
        <v>1.2639281556627309E-3</v>
      </c>
    </row>
    <row r="336" spans="1:12" x14ac:dyDescent="0.2">
      <c r="A336" t="s">
        <v>581</v>
      </c>
      <c r="B336" s="1" t="d">
        <v>2025-02-03</v>
      </c>
      <c r="C336" s="1" t="str">
        <f t="shared" si="15"/>
        <v>February 2025</v>
      </c>
      <c r="D336" t="s">
        <v>55</v>
      </c>
      <c r="E336" t="s">
        <v>72</v>
      </c>
      <c r="F336" t="s">
        <v>20</v>
      </c>
      <c r="G336" t="str">
        <f t="shared" si="16"/>
        <v>Campaign</v>
      </c>
      <c r="H336">
        <v>4</v>
      </c>
      <c r="I336" s="4">
        <v>0.15</v>
      </c>
      <c r="J336">
        <v>219.37</v>
      </c>
      <c r="K336" s="6">
        <v>106.17</v>
      </c>
      <c r="L336" s="8">
        <f t="shared" si="17"/>
        <v>0.48397684277704334</v>
      </c>
    </row>
    <row r="337" spans="1:12" x14ac:dyDescent="0.2">
      <c r="A337" t="s">
        <v>582</v>
      </c>
      <c r="B337" s="1" t="d">
        <v>2025-05-14</v>
      </c>
      <c r="C337" s="1" t="str">
        <f t="shared" si="15"/>
        <v>May 2025</v>
      </c>
      <c r="D337" t="s">
        <v>583</v>
      </c>
      <c r="E337" t="s">
        <v>44</v>
      </c>
      <c r="F337" t="s">
        <v>12</v>
      </c>
      <c r="G337" t="str">
        <f t="shared" si="16"/>
        <v>Campaign</v>
      </c>
      <c r="H337">
        <v>4</v>
      </c>
      <c r="I337" s="4">
        <v>0.2</v>
      </c>
      <c r="J337">
        <v>514.34</v>
      </c>
      <c r="K337" s="6">
        <v>95.5</v>
      </c>
      <c r="L337" s="8">
        <f t="shared" si="17"/>
        <v>0.18567484543298207</v>
      </c>
    </row>
    <row r="338" spans="1:12" x14ac:dyDescent="0.2">
      <c r="A338" t="s">
        <v>584</v>
      </c>
      <c r="B338" s="1" t="d">
        <v>2024-07-28</v>
      </c>
      <c r="C338" s="1" t="str">
        <f t="shared" si="15"/>
        <v>July 2024</v>
      </c>
      <c r="D338" t="s">
        <v>585</v>
      </c>
      <c r="E338" t="s">
        <v>44</v>
      </c>
      <c r="F338" t="s">
        <v>16</v>
      </c>
      <c r="G338" t="str">
        <f t="shared" si="16"/>
        <v>Campaign</v>
      </c>
      <c r="H338">
        <v>3</v>
      </c>
      <c r="I338" s="4">
        <v>0</v>
      </c>
      <c r="J338">
        <v>482.19</v>
      </c>
      <c r="K338" s="6">
        <v>168.06</v>
      </c>
      <c r="L338" s="8">
        <f t="shared" si="17"/>
        <v>0.34853480992969577</v>
      </c>
    </row>
    <row r="339" spans="1:12" x14ac:dyDescent="0.2">
      <c r="A339" t="s">
        <v>586</v>
      </c>
      <c r="B339" s="1" t="d">
        <v>2025-06-18</v>
      </c>
      <c r="C339" s="1" t="str">
        <f t="shared" si="15"/>
        <v>June 2025</v>
      </c>
      <c r="D339" t="s">
        <v>230</v>
      </c>
      <c r="E339" t="s">
        <v>96</v>
      </c>
      <c r="F339" t="s">
        <v>20</v>
      </c>
      <c r="G339" t="str">
        <f t="shared" si="16"/>
        <v>Campaign</v>
      </c>
      <c r="H339">
        <v>2</v>
      </c>
      <c r="I339" s="4">
        <v>0.3</v>
      </c>
      <c r="J339">
        <v>72.48</v>
      </c>
      <c r="K339" s="6">
        <v>-6.76</v>
      </c>
      <c r="L339" s="8">
        <f t="shared" si="17"/>
        <v>-9.326710816777041E-2</v>
      </c>
    </row>
    <row r="340" spans="1:12" x14ac:dyDescent="0.2">
      <c r="A340" t="s">
        <v>587</v>
      </c>
      <c r="B340" s="1" t="d">
        <v>2024-11-06</v>
      </c>
      <c r="C340" s="1" t="str">
        <f t="shared" si="15"/>
        <v>November 2024</v>
      </c>
      <c r="D340" t="s">
        <v>196</v>
      </c>
      <c r="E340" t="s">
        <v>29</v>
      </c>
      <c r="F340" t="s">
        <v>12</v>
      </c>
      <c r="G340" t="str">
        <f t="shared" si="16"/>
        <v>Campaign</v>
      </c>
      <c r="H340">
        <v>1</v>
      </c>
      <c r="I340" s="4">
        <v>0.05</v>
      </c>
      <c r="J340">
        <v>357.14</v>
      </c>
      <c r="K340" s="6">
        <v>169.94</v>
      </c>
      <c r="L340" s="8">
        <f t="shared" si="17"/>
        <v>0.47583580668645348</v>
      </c>
    </row>
    <row r="341" spans="1:12" x14ac:dyDescent="0.2">
      <c r="A341" t="s">
        <v>588</v>
      </c>
      <c r="B341" s="1" t="d">
        <v>2024-07-20</v>
      </c>
      <c r="C341" s="1" t="str">
        <f t="shared" si="15"/>
        <v>July 2024</v>
      </c>
      <c r="D341" t="s">
        <v>152</v>
      </c>
      <c r="E341" t="s">
        <v>106</v>
      </c>
      <c r="F341" t="s">
        <v>1337</v>
      </c>
      <c r="G341" t="str">
        <f t="shared" si="16"/>
        <v>Non-Campaign</v>
      </c>
      <c r="H341">
        <v>4</v>
      </c>
      <c r="I341" s="4">
        <v>0.05</v>
      </c>
      <c r="J341">
        <v>751.22</v>
      </c>
      <c r="K341" s="6">
        <v>368.66</v>
      </c>
      <c r="L341" s="8">
        <f t="shared" si="17"/>
        <v>0.49074838263092041</v>
      </c>
    </row>
    <row r="342" spans="1:12" x14ac:dyDescent="0.2">
      <c r="A342" t="s">
        <v>589</v>
      </c>
      <c r="B342" s="1" t="d">
        <v>2024-09-02</v>
      </c>
      <c r="C342" s="1" t="str">
        <f t="shared" si="15"/>
        <v>September 2024</v>
      </c>
      <c r="D342" t="s">
        <v>590</v>
      </c>
      <c r="E342" t="s">
        <v>138</v>
      </c>
      <c r="F342" t="s">
        <v>12</v>
      </c>
      <c r="G342" t="str">
        <f t="shared" si="16"/>
        <v>Campaign</v>
      </c>
      <c r="H342">
        <v>5</v>
      </c>
      <c r="I342" s="4">
        <v>0.3</v>
      </c>
      <c r="J342">
        <v>1516.09</v>
      </c>
      <c r="K342" s="6">
        <v>639.79</v>
      </c>
      <c r="L342" s="8">
        <f t="shared" si="17"/>
        <v>0.422000013191829</v>
      </c>
    </row>
    <row r="343" spans="1:12" x14ac:dyDescent="0.2">
      <c r="A343" t="s">
        <v>591</v>
      </c>
      <c r="B343" s="1" t="d">
        <v>2025-02-06</v>
      </c>
      <c r="C343" s="1" t="str">
        <f t="shared" si="15"/>
        <v>February 2025</v>
      </c>
      <c r="D343" t="s">
        <v>592</v>
      </c>
      <c r="E343" t="s">
        <v>103</v>
      </c>
      <c r="F343" t="s">
        <v>1337</v>
      </c>
      <c r="G343" t="str">
        <f t="shared" si="16"/>
        <v>Non-Campaign</v>
      </c>
      <c r="H343">
        <v>2</v>
      </c>
      <c r="I343" s="4">
        <v>0.15</v>
      </c>
      <c r="J343">
        <v>160.87</v>
      </c>
      <c r="K343" s="6">
        <v>12.71</v>
      </c>
      <c r="L343" s="8">
        <f t="shared" si="17"/>
        <v>7.9007894573257909E-2</v>
      </c>
    </row>
    <row r="344" spans="1:12" x14ac:dyDescent="0.2">
      <c r="A344" t="s">
        <v>593</v>
      </c>
      <c r="B344" s="1" t="d">
        <v>2024-11-27</v>
      </c>
      <c r="C344" s="1" t="str">
        <f t="shared" si="15"/>
        <v>November 2024</v>
      </c>
      <c r="D344" t="s">
        <v>202</v>
      </c>
      <c r="E344" t="s">
        <v>72</v>
      </c>
      <c r="F344" t="s">
        <v>20</v>
      </c>
      <c r="G344" t="str">
        <f t="shared" si="16"/>
        <v>Campaign</v>
      </c>
      <c r="H344">
        <v>5</v>
      </c>
      <c r="I344" s="4">
        <v>0.1</v>
      </c>
      <c r="J344">
        <v>290.33999999999997</v>
      </c>
      <c r="K344" s="6">
        <v>148.84</v>
      </c>
      <c r="L344" s="8">
        <f t="shared" si="17"/>
        <v>0.51264035268994979</v>
      </c>
    </row>
    <row r="345" spans="1:12" x14ac:dyDescent="0.2">
      <c r="A345" t="s">
        <v>594</v>
      </c>
      <c r="B345" s="1" t="d">
        <v>2024-08-13</v>
      </c>
      <c r="C345" s="1" t="str">
        <f t="shared" si="15"/>
        <v>August 2024</v>
      </c>
      <c r="D345" t="s">
        <v>595</v>
      </c>
      <c r="E345" t="s">
        <v>38</v>
      </c>
      <c r="F345" t="s">
        <v>12</v>
      </c>
      <c r="G345" t="str">
        <f t="shared" si="16"/>
        <v>Campaign</v>
      </c>
      <c r="H345">
        <v>2</v>
      </c>
      <c r="I345" s="4">
        <v>0.05</v>
      </c>
      <c r="J345">
        <v>892.22</v>
      </c>
      <c r="K345" s="6">
        <v>273.10000000000002</v>
      </c>
      <c r="L345" s="8">
        <f t="shared" si="17"/>
        <v>0.30609042612808501</v>
      </c>
    </row>
    <row r="346" spans="1:12" x14ac:dyDescent="0.2">
      <c r="A346" t="s">
        <v>596</v>
      </c>
      <c r="B346" s="1" t="d">
        <v>2025-05-09</v>
      </c>
      <c r="C346" s="1" t="str">
        <f t="shared" si="15"/>
        <v>May 2025</v>
      </c>
      <c r="D346" t="s">
        <v>597</v>
      </c>
      <c r="E346" t="s">
        <v>58</v>
      </c>
      <c r="F346" t="s">
        <v>1337</v>
      </c>
      <c r="G346" t="str">
        <f t="shared" si="16"/>
        <v>Non-Campaign</v>
      </c>
      <c r="H346">
        <v>1</v>
      </c>
      <c r="I346" s="4">
        <v>0.15</v>
      </c>
      <c r="J346">
        <v>58.82</v>
      </c>
      <c r="K346" s="6">
        <v>10.64</v>
      </c>
      <c r="L346" s="8">
        <f t="shared" si="17"/>
        <v>0.18089085345120709</v>
      </c>
    </row>
    <row r="347" spans="1:12" x14ac:dyDescent="0.2">
      <c r="A347" t="s">
        <v>598</v>
      </c>
      <c r="B347" s="1" t="d">
        <v>2025-04-19</v>
      </c>
      <c r="C347" s="1" t="str">
        <f t="shared" si="15"/>
        <v>April 2025</v>
      </c>
      <c r="D347" t="s">
        <v>347</v>
      </c>
      <c r="E347" t="s">
        <v>47</v>
      </c>
      <c r="F347" t="s">
        <v>109</v>
      </c>
      <c r="G347" t="str">
        <f t="shared" si="16"/>
        <v>Campaign</v>
      </c>
      <c r="H347">
        <v>3</v>
      </c>
      <c r="I347" s="4">
        <v>0</v>
      </c>
      <c r="J347">
        <v>901.8</v>
      </c>
      <c r="K347" s="6">
        <v>217.23</v>
      </c>
      <c r="L347" s="8">
        <f t="shared" si="17"/>
        <v>0.24088489687292083</v>
      </c>
    </row>
    <row r="348" spans="1:12" x14ac:dyDescent="0.2">
      <c r="A348" t="s">
        <v>599</v>
      </c>
      <c r="B348" s="1" t="d">
        <v>2025-05-07</v>
      </c>
      <c r="C348" s="1" t="str">
        <f t="shared" si="15"/>
        <v>May 2025</v>
      </c>
      <c r="D348" t="s">
        <v>600</v>
      </c>
      <c r="E348" t="s">
        <v>11</v>
      </c>
      <c r="F348" t="s">
        <v>12</v>
      </c>
      <c r="G348" t="str">
        <f t="shared" si="16"/>
        <v>Campaign</v>
      </c>
      <c r="H348">
        <v>3</v>
      </c>
      <c r="I348" s="4">
        <v>0.05</v>
      </c>
      <c r="J348">
        <v>577.01</v>
      </c>
      <c r="K348" s="6">
        <v>223.91</v>
      </c>
      <c r="L348" s="8">
        <f t="shared" si="17"/>
        <v>0.38805220013517966</v>
      </c>
    </row>
    <row r="349" spans="1:12" x14ac:dyDescent="0.2">
      <c r="A349" t="s">
        <v>601</v>
      </c>
      <c r="B349" s="1" t="d">
        <v>2025-05-07</v>
      </c>
      <c r="C349" s="1" t="str">
        <f t="shared" si="15"/>
        <v>May 2025</v>
      </c>
      <c r="D349" t="s">
        <v>602</v>
      </c>
      <c r="E349" t="s">
        <v>148</v>
      </c>
      <c r="F349" t="s">
        <v>109</v>
      </c>
      <c r="G349" t="str">
        <f t="shared" si="16"/>
        <v>Campaign</v>
      </c>
      <c r="H349">
        <v>5</v>
      </c>
      <c r="I349" s="4">
        <v>0.05</v>
      </c>
      <c r="J349">
        <v>2351.11</v>
      </c>
      <c r="K349" s="6">
        <v>727.61</v>
      </c>
      <c r="L349" s="8">
        <f t="shared" si="17"/>
        <v>0.30947509899579345</v>
      </c>
    </row>
    <row r="350" spans="1:12" x14ac:dyDescent="0.2">
      <c r="A350" t="s">
        <v>603</v>
      </c>
      <c r="B350" s="1" t="d">
        <v>2024-07-13</v>
      </c>
      <c r="C350" s="1" t="str">
        <f t="shared" si="15"/>
        <v>July 2024</v>
      </c>
      <c r="D350" t="s">
        <v>52</v>
      </c>
      <c r="E350" t="s">
        <v>44</v>
      </c>
      <c r="F350" t="s">
        <v>1337</v>
      </c>
      <c r="G350" t="str">
        <f t="shared" si="16"/>
        <v>Non-Campaign</v>
      </c>
      <c r="H350">
        <v>2</v>
      </c>
      <c r="I350" s="4">
        <v>0.3</v>
      </c>
      <c r="J350">
        <v>225.02</v>
      </c>
      <c r="K350" s="6">
        <v>15.6</v>
      </c>
      <c r="L350" s="8">
        <f t="shared" si="17"/>
        <v>6.9327170918140599E-2</v>
      </c>
    </row>
    <row r="351" spans="1:12" x14ac:dyDescent="0.2">
      <c r="A351" t="s">
        <v>604</v>
      </c>
      <c r="B351" s="1" t="d">
        <v>2024-07-31</v>
      </c>
      <c r="C351" s="1" t="str">
        <f t="shared" si="15"/>
        <v>July 2024</v>
      </c>
      <c r="D351" t="s">
        <v>155</v>
      </c>
      <c r="E351" t="s">
        <v>47</v>
      </c>
      <c r="F351" t="s">
        <v>30</v>
      </c>
      <c r="G351" t="str">
        <f t="shared" si="16"/>
        <v>Campaign</v>
      </c>
      <c r="H351">
        <v>2</v>
      </c>
      <c r="I351" s="4">
        <v>0</v>
      </c>
      <c r="J351">
        <v>601.20000000000005</v>
      </c>
      <c r="K351" s="6">
        <v>144.82</v>
      </c>
      <c r="L351" s="8">
        <f t="shared" si="17"/>
        <v>0.24088489687292081</v>
      </c>
    </row>
    <row r="352" spans="1:12" x14ac:dyDescent="0.2">
      <c r="A352" t="s">
        <v>605</v>
      </c>
      <c r="B352" s="1" t="d">
        <v>2024-07-09</v>
      </c>
      <c r="C352" s="1" t="str">
        <f t="shared" si="15"/>
        <v>July 2024</v>
      </c>
      <c r="D352" t="s">
        <v>129</v>
      </c>
      <c r="E352" t="s">
        <v>29</v>
      </c>
      <c r="F352" t="s">
        <v>30</v>
      </c>
      <c r="G352" t="str">
        <f t="shared" si="16"/>
        <v>Campaign</v>
      </c>
      <c r="H352">
        <v>5</v>
      </c>
      <c r="I352" s="4">
        <v>0.1</v>
      </c>
      <c r="J352">
        <v>1691.73</v>
      </c>
      <c r="K352" s="6">
        <v>755.73</v>
      </c>
      <c r="L352" s="8">
        <f t="shared" si="17"/>
        <v>0.44672022131191147</v>
      </c>
    </row>
    <row r="353" spans="1:12" x14ac:dyDescent="0.2">
      <c r="A353" t="s">
        <v>606</v>
      </c>
      <c r="B353" s="1" t="d">
        <v>2025-01-06</v>
      </c>
      <c r="C353" s="1" t="str">
        <f t="shared" si="15"/>
        <v>January 2025</v>
      </c>
      <c r="D353" t="s">
        <v>183</v>
      </c>
      <c r="E353" t="s">
        <v>165</v>
      </c>
      <c r="F353" t="s">
        <v>12</v>
      </c>
      <c r="G353" t="str">
        <f t="shared" si="16"/>
        <v>Campaign</v>
      </c>
      <c r="H353">
        <v>4</v>
      </c>
      <c r="I353" s="4">
        <v>0.3</v>
      </c>
      <c r="J353">
        <v>223.78</v>
      </c>
      <c r="K353" s="6">
        <v>-22.02</v>
      </c>
      <c r="L353" s="8">
        <f t="shared" si="17"/>
        <v>-9.8400214496380367E-2</v>
      </c>
    </row>
    <row r="354" spans="1:12" x14ac:dyDescent="0.2">
      <c r="A354" t="s">
        <v>607</v>
      </c>
      <c r="B354" s="1" t="d">
        <v>2025-04-30</v>
      </c>
      <c r="C354" s="1" t="str">
        <f t="shared" si="15"/>
        <v>April 2025</v>
      </c>
      <c r="D354" t="s">
        <v>209</v>
      </c>
      <c r="E354" t="s">
        <v>23</v>
      </c>
      <c r="F354" t="s">
        <v>30</v>
      </c>
      <c r="G354" t="str">
        <f t="shared" si="16"/>
        <v>Campaign</v>
      </c>
      <c r="H354">
        <v>5</v>
      </c>
      <c r="I354" s="4">
        <v>0.05</v>
      </c>
      <c r="J354">
        <v>1247.21</v>
      </c>
      <c r="K354" s="6">
        <v>708.11</v>
      </c>
      <c r="L354" s="8">
        <f t="shared" si="17"/>
        <v>0.56775522967262926</v>
      </c>
    </row>
    <row r="355" spans="1:12" x14ac:dyDescent="0.2">
      <c r="A355" t="s">
        <v>608</v>
      </c>
      <c r="B355" s="1" t="d">
        <v>2024-08-05</v>
      </c>
      <c r="C355" s="1" t="str">
        <f t="shared" si="15"/>
        <v>August 2024</v>
      </c>
      <c r="D355" t="s">
        <v>592</v>
      </c>
      <c r="E355" t="s">
        <v>106</v>
      </c>
      <c r="F355" t="s">
        <v>12</v>
      </c>
      <c r="G355" t="str">
        <f t="shared" si="16"/>
        <v>Campaign</v>
      </c>
      <c r="H355">
        <v>2</v>
      </c>
      <c r="I355" s="4">
        <v>0.3</v>
      </c>
      <c r="J355">
        <v>276.77</v>
      </c>
      <c r="K355" s="6">
        <v>85.49</v>
      </c>
      <c r="L355" s="8">
        <f t="shared" si="17"/>
        <v>0.30888463345015715</v>
      </c>
    </row>
    <row r="356" spans="1:12" x14ac:dyDescent="0.2">
      <c r="A356" t="s">
        <v>609</v>
      </c>
      <c r="B356" s="1" t="d">
        <v>2025-01-05</v>
      </c>
      <c r="C356" s="1" t="str">
        <f t="shared" si="15"/>
        <v>January 2025</v>
      </c>
      <c r="D356" t="s">
        <v>388</v>
      </c>
      <c r="E356" t="s">
        <v>26</v>
      </c>
      <c r="F356" t="s">
        <v>12</v>
      </c>
      <c r="G356" t="str">
        <f t="shared" si="16"/>
        <v>Campaign</v>
      </c>
      <c r="H356">
        <v>2</v>
      </c>
      <c r="I356" s="4">
        <v>0.2</v>
      </c>
      <c r="J356">
        <v>356.03</v>
      </c>
      <c r="K356" s="6">
        <v>172.71</v>
      </c>
      <c r="L356" s="8">
        <f t="shared" si="17"/>
        <v>0.48509957026093314</v>
      </c>
    </row>
    <row r="357" spans="1:12" x14ac:dyDescent="0.2">
      <c r="A357" t="s">
        <v>610</v>
      </c>
      <c r="B357" s="1" t="d">
        <v>2024-09-19</v>
      </c>
      <c r="C357" s="1" t="str">
        <f t="shared" si="15"/>
        <v>September 2024</v>
      </c>
      <c r="D357" t="s">
        <v>334</v>
      </c>
      <c r="E357" t="s">
        <v>53</v>
      </c>
      <c r="F357" t="s">
        <v>1337</v>
      </c>
      <c r="G357" t="str">
        <f t="shared" si="16"/>
        <v>Non-Campaign</v>
      </c>
      <c r="H357">
        <v>4</v>
      </c>
      <c r="I357" s="4">
        <v>0.3</v>
      </c>
      <c r="J357">
        <v>936.91</v>
      </c>
      <c r="K357" s="6">
        <v>189.71</v>
      </c>
      <c r="L357" s="8">
        <f t="shared" si="17"/>
        <v>0.20248476374464999</v>
      </c>
    </row>
    <row r="358" spans="1:12" x14ac:dyDescent="0.2">
      <c r="A358" t="s">
        <v>611</v>
      </c>
      <c r="B358" s="1" t="d">
        <v>2025-03-06</v>
      </c>
      <c r="C358" s="1" t="str">
        <f t="shared" si="15"/>
        <v>March 2025</v>
      </c>
      <c r="D358" t="s">
        <v>483</v>
      </c>
      <c r="E358" t="s">
        <v>148</v>
      </c>
      <c r="F358" t="s">
        <v>20</v>
      </c>
      <c r="G358" t="str">
        <f t="shared" si="16"/>
        <v>Campaign</v>
      </c>
      <c r="H358">
        <v>5</v>
      </c>
      <c r="I358" s="4">
        <v>0.05</v>
      </c>
      <c r="J358">
        <v>2351.11</v>
      </c>
      <c r="K358" s="6">
        <v>727.61</v>
      </c>
      <c r="L358" s="8">
        <f t="shared" si="17"/>
        <v>0.30947509899579345</v>
      </c>
    </row>
    <row r="359" spans="1:12" x14ac:dyDescent="0.2">
      <c r="A359" t="s">
        <v>612</v>
      </c>
      <c r="B359" s="1" t="d">
        <v>2024-12-26</v>
      </c>
      <c r="C359" s="1" t="str">
        <f t="shared" si="15"/>
        <v>December 2024</v>
      </c>
      <c r="D359" t="s">
        <v>516</v>
      </c>
      <c r="E359" t="s">
        <v>26</v>
      </c>
      <c r="F359" t="s">
        <v>12</v>
      </c>
      <c r="G359" t="str">
        <f t="shared" si="16"/>
        <v>Campaign</v>
      </c>
      <c r="H359">
        <v>4</v>
      </c>
      <c r="I359" s="4">
        <v>0.3</v>
      </c>
      <c r="J359">
        <v>623.05999999999995</v>
      </c>
      <c r="K359" s="6">
        <v>256.42</v>
      </c>
      <c r="L359" s="8">
        <f t="shared" si="17"/>
        <v>0.4115494494912208</v>
      </c>
    </row>
    <row r="360" spans="1:12" x14ac:dyDescent="0.2">
      <c r="A360" t="s">
        <v>613</v>
      </c>
      <c r="B360" s="1" t="d">
        <v>2025-06-08</v>
      </c>
      <c r="C360" s="1" t="str">
        <f t="shared" si="15"/>
        <v>June 2025</v>
      </c>
      <c r="D360" t="s">
        <v>125</v>
      </c>
      <c r="E360" t="s">
        <v>103</v>
      </c>
      <c r="F360" t="s">
        <v>109</v>
      </c>
      <c r="G360" t="str">
        <f t="shared" si="16"/>
        <v>Campaign</v>
      </c>
      <c r="H360">
        <v>3</v>
      </c>
      <c r="I360" s="4">
        <v>0.1</v>
      </c>
      <c r="J360">
        <v>255.5</v>
      </c>
      <c r="K360" s="6">
        <v>33.26</v>
      </c>
      <c r="L360" s="8">
        <f t="shared" si="17"/>
        <v>0.13017612524461838</v>
      </c>
    </row>
    <row r="361" spans="1:12" x14ac:dyDescent="0.2">
      <c r="A361" t="s">
        <v>614</v>
      </c>
      <c r="B361" s="1" t="d">
        <v>2024-10-03</v>
      </c>
      <c r="C361" s="1" t="str">
        <f t="shared" si="15"/>
        <v>October 2024</v>
      </c>
      <c r="D361" t="s">
        <v>516</v>
      </c>
      <c r="E361" t="s">
        <v>53</v>
      </c>
      <c r="F361" t="s">
        <v>1337</v>
      </c>
      <c r="G361" t="str">
        <f t="shared" si="16"/>
        <v>Non-Campaign</v>
      </c>
      <c r="H361">
        <v>3</v>
      </c>
      <c r="I361" s="4">
        <v>0.15</v>
      </c>
      <c r="J361">
        <v>853.26</v>
      </c>
      <c r="K361" s="6">
        <v>292.86</v>
      </c>
      <c r="L361" s="8">
        <f t="shared" si="17"/>
        <v>0.34322480838197034</v>
      </c>
    </row>
    <row r="362" spans="1:12" x14ac:dyDescent="0.2">
      <c r="A362" t="s">
        <v>615</v>
      </c>
      <c r="B362" s="1" t="d">
        <v>2024-08-30</v>
      </c>
      <c r="C362" s="1" t="str">
        <f t="shared" si="15"/>
        <v>August 2024</v>
      </c>
      <c r="D362" t="s">
        <v>397</v>
      </c>
      <c r="E362" t="s">
        <v>103</v>
      </c>
      <c r="F362" t="s">
        <v>20</v>
      </c>
      <c r="G362" t="str">
        <f t="shared" si="16"/>
        <v>Campaign</v>
      </c>
      <c r="H362">
        <v>2</v>
      </c>
      <c r="I362" s="4">
        <v>0.05</v>
      </c>
      <c r="J362">
        <v>179.8</v>
      </c>
      <c r="K362" s="6">
        <v>31.64</v>
      </c>
      <c r="L362" s="8">
        <f t="shared" si="17"/>
        <v>0.17597330367074526</v>
      </c>
    </row>
    <row r="363" spans="1:12" x14ac:dyDescent="0.2">
      <c r="A363" t="s">
        <v>616</v>
      </c>
      <c r="B363" s="1" t="d">
        <v>2024-12-17</v>
      </c>
      <c r="C363" s="1" t="str">
        <f t="shared" si="15"/>
        <v>December 2024</v>
      </c>
      <c r="D363" t="s">
        <v>401</v>
      </c>
      <c r="E363" t="s">
        <v>23</v>
      </c>
      <c r="F363" t="s">
        <v>16</v>
      </c>
      <c r="G363" t="str">
        <f t="shared" si="16"/>
        <v>Campaign</v>
      </c>
      <c r="H363">
        <v>1</v>
      </c>
      <c r="I363" s="4">
        <v>0.05</v>
      </c>
      <c r="J363">
        <v>249.44</v>
      </c>
      <c r="K363" s="6">
        <v>141.62</v>
      </c>
      <c r="L363" s="8">
        <f t="shared" si="17"/>
        <v>0.56775176395125082</v>
      </c>
    </row>
    <row r="364" spans="1:12" x14ac:dyDescent="0.2">
      <c r="A364" t="s">
        <v>617</v>
      </c>
      <c r="B364" s="1" t="d">
        <v>2025-01-05</v>
      </c>
      <c r="C364" s="1" t="str">
        <f t="shared" si="15"/>
        <v>January 2025</v>
      </c>
      <c r="D364" t="s">
        <v>473</v>
      </c>
      <c r="E364" t="s">
        <v>11</v>
      </c>
      <c r="F364" t="s">
        <v>1337</v>
      </c>
      <c r="G364" t="str">
        <f t="shared" si="16"/>
        <v>Non-Campaign</v>
      </c>
      <c r="H364">
        <v>4</v>
      </c>
      <c r="I364" s="4">
        <v>0</v>
      </c>
      <c r="J364">
        <v>809.84</v>
      </c>
      <c r="K364" s="6">
        <v>339.04</v>
      </c>
      <c r="L364" s="8">
        <f t="shared" si="17"/>
        <v>0.41865059764891832</v>
      </c>
    </row>
    <row r="365" spans="1:12" x14ac:dyDescent="0.2">
      <c r="A365" t="s">
        <v>618</v>
      </c>
      <c r="B365" s="1" t="d">
        <v>2024-09-21</v>
      </c>
      <c r="C365" s="1" t="str">
        <f t="shared" si="15"/>
        <v>September 2024</v>
      </c>
      <c r="D365" t="s">
        <v>28</v>
      </c>
      <c r="E365" t="s">
        <v>44</v>
      </c>
      <c r="F365" t="s">
        <v>30</v>
      </c>
      <c r="G365" t="str">
        <f t="shared" si="16"/>
        <v>Campaign</v>
      </c>
      <c r="H365">
        <v>4</v>
      </c>
      <c r="I365" s="4">
        <v>0.1</v>
      </c>
      <c r="J365">
        <v>578.63</v>
      </c>
      <c r="K365" s="6">
        <v>159.79</v>
      </c>
      <c r="L365" s="8">
        <f t="shared" si="17"/>
        <v>0.27615229075575065</v>
      </c>
    </row>
    <row r="366" spans="1:12" x14ac:dyDescent="0.2">
      <c r="A366" t="s">
        <v>619</v>
      </c>
      <c r="B366" s="1" t="d">
        <v>2024-08-15</v>
      </c>
      <c r="C366" s="1" t="str">
        <f t="shared" si="15"/>
        <v>August 2024</v>
      </c>
      <c r="D366" t="s">
        <v>52</v>
      </c>
      <c r="E366" t="s">
        <v>72</v>
      </c>
      <c r="F366" t="s">
        <v>20</v>
      </c>
      <c r="G366" t="str">
        <f t="shared" si="16"/>
        <v>Campaign</v>
      </c>
      <c r="H366">
        <v>1</v>
      </c>
      <c r="I366" s="4">
        <v>0.05</v>
      </c>
      <c r="J366">
        <v>61.29</v>
      </c>
      <c r="K366" s="6">
        <v>32.99</v>
      </c>
      <c r="L366" s="8">
        <f t="shared" si="17"/>
        <v>0.53826072768804045</v>
      </c>
    </row>
    <row r="367" spans="1:12" x14ac:dyDescent="0.2">
      <c r="A367" t="s">
        <v>620</v>
      </c>
      <c r="B367" s="1" t="d">
        <v>2025-04-21</v>
      </c>
      <c r="C367" s="1" t="str">
        <f t="shared" si="15"/>
        <v>April 2025</v>
      </c>
      <c r="D367" t="s">
        <v>145</v>
      </c>
      <c r="E367" t="s">
        <v>130</v>
      </c>
      <c r="F367" t="s">
        <v>12</v>
      </c>
      <c r="G367" t="str">
        <f t="shared" si="16"/>
        <v>Campaign</v>
      </c>
      <c r="H367">
        <v>2</v>
      </c>
      <c r="I367" s="4">
        <v>0.1</v>
      </c>
      <c r="J367">
        <v>689</v>
      </c>
      <c r="K367" s="6">
        <v>119.08</v>
      </c>
      <c r="L367" s="8">
        <f t="shared" si="17"/>
        <v>0.17283018867924527</v>
      </c>
    </row>
    <row r="368" spans="1:12" x14ac:dyDescent="0.2">
      <c r="A368" t="s">
        <v>621</v>
      </c>
      <c r="B368" s="1" t="d">
        <v>2025-06-06</v>
      </c>
      <c r="C368" s="1" t="str">
        <f t="shared" si="15"/>
        <v>June 2025</v>
      </c>
      <c r="D368" t="s">
        <v>622</v>
      </c>
      <c r="E368" t="s">
        <v>26</v>
      </c>
      <c r="F368" t="s">
        <v>30</v>
      </c>
      <c r="G368" t="str">
        <f t="shared" si="16"/>
        <v>Campaign</v>
      </c>
      <c r="H368">
        <v>3</v>
      </c>
      <c r="I368" s="4">
        <v>0.15</v>
      </c>
      <c r="J368">
        <v>567.42999999999995</v>
      </c>
      <c r="K368" s="6">
        <v>292.45</v>
      </c>
      <c r="L368" s="8">
        <f t="shared" si="17"/>
        <v>0.515393969300178</v>
      </c>
    </row>
    <row r="369" spans="1:12" x14ac:dyDescent="0.2">
      <c r="A369" t="s">
        <v>623</v>
      </c>
      <c r="B369" s="1" t="d">
        <v>2025-01-19</v>
      </c>
      <c r="C369" s="1" t="str">
        <f t="shared" si="15"/>
        <v>January 2025</v>
      </c>
      <c r="D369" t="s">
        <v>624</v>
      </c>
      <c r="E369" t="s">
        <v>58</v>
      </c>
      <c r="F369" t="s">
        <v>109</v>
      </c>
      <c r="G369" t="str">
        <f t="shared" si="16"/>
        <v>Campaign</v>
      </c>
      <c r="H369">
        <v>3</v>
      </c>
      <c r="I369" s="4">
        <v>0.05</v>
      </c>
      <c r="J369">
        <v>197.22</v>
      </c>
      <c r="K369" s="6">
        <v>52.68</v>
      </c>
      <c r="L369" s="8">
        <f t="shared" si="17"/>
        <v>0.26711286887739583</v>
      </c>
    </row>
    <row r="370" spans="1:12" x14ac:dyDescent="0.2">
      <c r="A370" t="s">
        <v>625</v>
      </c>
      <c r="B370" s="1" t="d">
        <v>2024-09-01</v>
      </c>
      <c r="C370" s="1" t="str">
        <f t="shared" si="15"/>
        <v>September 2024</v>
      </c>
      <c r="D370" t="s">
        <v>626</v>
      </c>
      <c r="E370" t="s">
        <v>177</v>
      </c>
      <c r="F370" t="s">
        <v>1337</v>
      </c>
      <c r="G370" t="str">
        <f t="shared" si="16"/>
        <v>Non-Campaign</v>
      </c>
      <c r="H370">
        <v>5</v>
      </c>
      <c r="I370" s="4">
        <v>0.3</v>
      </c>
      <c r="J370">
        <v>393.05</v>
      </c>
      <c r="K370" s="6">
        <v>152.85</v>
      </c>
      <c r="L370" s="8">
        <f t="shared" si="17"/>
        <v>0.3888818216511894</v>
      </c>
    </row>
    <row r="371" spans="1:12" x14ac:dyDescent="0.2">
      <c r="A371" t="s">
        <v>627</v>
      </c>
      <c r="B371" s="1" t="d">
        <v>2025-06-04</v>
      </c>
      <c r="C371" s="1" t="str">
        <f t="shared" si="15"/>
        <v>June 2025</v>
      </c>
      <c r="D371" t="s">
        <v>628</v>
      </c>
      <c r="E371" t="s">
        <v>103</v>
      </c>
      <c r="F371" t="s">
        <v>20</v>
      </c>
      <c r="G371" t="str">
        <f t="shared" si="16"/>
        <v>Campaign</v>
      </c>
      <c r="H371">
        <v>4</v>
      </c>
      <c r="I371" s="4">
        <v>0</v>
      </c>
      <c r="J371">
        <v>378.52</v>
      </c>
      <c r="K371" s="6">
        <v>82.2</v>
      </c>
      <c r="L371" s="8">
        <f t="shared" si="17"/>
        <v>0.21716157666701894</v>
      </c>
    </row>
    <row r="372" spans="1:12" x14ac:dyDescent="0.2">
      <c r="A372" t="s">
        <v>629</v>
      </c>
      <c r="B372" s="1" t="d">
        <v>2025-01-27</v>
      </c>
      <c r="C372" s="1" t="str">
        <f t="shared" si="15"/>
        <v>January 2025</v>
      </c>
      <c r="D372" t="s">
        <v>267</v>
      </c>
      <c r="E372" t="s">
        <v>23</v>
      </c>
      <c r="F372" t="s">
        <v>12</v>
      </c>
      <c r="G372" t="str">
        <f t="shared" si="16"/>
        <v>Campaign</v>
      </c>
      <c r="H372">
        <v>1</v>
      </c>
      <c r="I372" s="4">
        <v>0.05</v>
      </c>
      <c r="J372">
        <v>249.44</v>
      </c>
      <c r="K372" s="6">
        <v>141.62</v>
      </c>
      <c r="L372" s="8">
        <f t="shared" si="17"/>
        <v>0.56775176395125082</v>
      </c>
    </row>
    <row r="373" spans="1:12" x14ac:dyDescent="0.2">
      <c r="A373" t="s">
        <v>630</v>
      </c>
      <c r="B373" s="1" t="d">
        <v>2025-05-17</v>
      </c>
      <c r="C373" s="1" t="str">
        <f t="shared" si="15"/>
        <v>May 2025</v>
      </c>
      <c r="D373" t="s">
        <v>125</v>
      </c>
      <c r="E373" t="s">
        <v>15</v>
      </c>
      <c r="F373" t="s">
        <v>1337</v>
      </c>
      <c r="G373" t="str">
        <f t="shared" si="16"/>
        <v>Non-Campaign</v>
      </c>
      <c r="H373">
        <v>3</v>
      </c>
      <c r="I373" s="4">
        <v>0.3</v>
      </c>
      <c r="J373">
        <v>854.26</v>
      </c>
      <c r="K373" s="6">
        <v>25.33</v>
      </c>
      <c r="L373" s="8">
        <f t="shared" si="17"/>
        <v>2.9651394189122746E-2</v>
      </c>
    </row>
    <row r="374" spans="1:12" x14ac:dyDescent="0.2">
      <c r="A374" t="s">
        <v>631</v>
      </c>
      <c r="B374" s="1" t="d">
        <v>2025-03-27</v>
      </c>
      <c r="C374" s="1" t="str">
        <f t="shared" si="15"/>
        <v>March 2025</v>
      </c>
      <c r="D374" t="s">
        <v>483</v>
      </c>
      <c r="E374" t="s">
        <v>148</v>
      </c>
      <c r="F374" t="s">
        <v>109</v>
      </c>
      <c r="G374" t="str">
        <f t="shared" si="16"/>
        <v>Campaign</v>
      </c>
      <c r="H374">
        <v>1</v>
      </c>
      <c r="I374" s="4">
        <v>0</v>
      </c>
      <c r="J374">
        <v>494.97</v>
      </c>
      <c r="K374" s="6">
        <v>170.27</v>
      </c>
      <c r="L374" s="8">
        <f t="shared" si="17"/>
        <v>0.3440006465038285</v>
      </c>
    </row>
    <row r="375" spans="1:12" x14ac:dyDescent="0.2">
      <c r="A375" t="s">
        <v>632</v>
      </c>
      <c r="B375" s="1" t="d">
        <v>2024-10-25</v>
      </c>
      <c r="C375" s="1" t="str">
        <f t="shared" si="15"/>
        <v>October 2024</v>
      </c>
      <c r="D375" t="s">
        <v>116</v>
      </c>
      <c r="E375" t="s">
        <v>15</v>
      </c>
      <c r="F375" t="s">
        <v>1337</v>
      </c>
      <c r="G375" t="str">
        <f t="shared" si="16"/>
        <v>Non-Campaign</v>
      </c>
      <c r="H375">
        <v>2</v>
      </c>
      <c r="I375" s="4">
        <v>0</v>
      </c>
      <c r="J375">
        <v>813.58</v>
      </c>
      <c r="K375" s="6">
        <v>260.95999999999998</v>
      </c>
      <c r="L375" s="8">
        <f t="shared" si="17"/>
        <v>0.32075518080582116</v>
      </c>
    </row>
    <row r="376" spans="1:12" x14ac:dyDescent="0.2">
      <c r="A376" t="s">
        <v>633</v>
      </c>
      <c r="B376" s="1" t="d">
        <v>2025-05-25</v>
      </c>
      <c r="C376" s="1" t="str">
        <f t="shared" si="15"/>
        <v>May 2025</v>
      </c>
      <c r="D376" t="s">
        <v>634</v>
      </c>
      <c r="E376" t="s">
        <v>23</v>
      </c>
      <c r="F376" t="s">
        <v>12</v>
      </c>
      <c r="G376" t="str">
        <f t="shared" si="16"/>
        <v>Campaign</v>
      </c>
      <c r="H376">
        <v>4</v>
      </c>
      <c r="I376" s="4">
        <v>0</v>
      </c>
      <c r="J376">
        <v>1050.28</v>
      </c>
      <c r="K376" s="6">
        <v>619</v>
      </c>
      <c r="L376" s="8">
        <f t="shared" si="17"/>
        <v>0.58936664508512016</v>
      </c>
    </row>
    <row r="377" spans="1:12" x14ac:dyDescent="0.2">
      <c r="A377" t="s">
        <v>635</v>
      </c>
      <c r="B377" s="1" t="d">
        <v>2024-07-17</v>
      </c>
      <c r="C377" s="1" t="str">
        <f t="shared" si="15"/>
        <v>July 2024</v>
      </c>
      <c r="D377" t="s">
        <v>147</v>
      </c>
      <c r="E377" t="s">
        <v>138</v>
      </c>
      <c r="F377" t="s">
        <v>1337</v>
      </c>
      <c r="G377" t="str">
        <f t="shared" si="16"/>
        <v>Non-Campaign</v>
      </c>
      <c r="H377">
        <v>4</v>
      </c>
      <c r="I377" s="4">
        <v>0.15</v>
      </c>
      <c r="J377">
        <v>1472.78</v>
      </c>
      <c r="K377" s="6">
        <v>771.74</v>
      </c>
      <c r="L377" s="8">
        <f t="shared" si="17"/>
        <v>0.52400222708075883</v>
      </c>
    </row>
    <row r="378" spans="1:12" x14ac:dyDescent="0.2">
      <c r="A378" t="s">
        <v>636</v>
      </c>
      <c r="B378" s="1" t="d">
        <v>2024-07-24</v>
      </c>
      <c r="C378" s="1" t="str">
        <f t="shared" si="15"/>
        <v>July 2024</v>
      </c>
      <c r="D378" t="s">
        <v>626</v>
      </c>
      <c r="E378" t="s">
        <v>177</v>
      </c>
      <c r="F378" t="s">
        <v>1337</v>
      </c>
      <c r="G378" t="str">
        <f t="shared" si="16"/>
        <v>Non-Campaign</v>
      </c>
      <c r="H378">
        <v>2</v>
      </c>
      <c r="I378" s="4">
        <v>0.1</v>
      </c>
      <c r="J378">
        <v>202.14</v>
      </c>
      <c r="K378" s="6">
        <v>106.06</v>
      </c>
      <c r="L378" s="8">
        <f t="shared" si="17"/>
        <v>0.52468586128425854</v>
      </c>
    </row>
    <row r="379" spans="1:12" x14ac:dyDescent="0.2">
      <c r="A379" t="s">
        <v>637</v>
      </c>
      <c r="B379" s="1" t="d">
        <v>2025-05-28</v>
      </c>
      <c r="C379" s="1" t="str">
        <f t="shared" si="15"/>
        <v>May 2025</v>
      </c>
      <c r="D379" t="s">
        <v>475</v>
      </c>
      <c r="E379" t="s">
        <v>138</v>
      </c>
      <c r="F379" t="s">
        <v>16</v>
      </c>
      <c r="G379" t="str">
        <f t="shared" si="16"/>
        <v>Campaign</v>
      </c>
      <c r="H379">
        <v>3</v>
      </c>
      <c r="I379" s="4">
        <v>0.1</v>
      </c>
      <c r="J379">
        <v>1169.56</v>
      </c>
      <c r="K379" s="6">
        <v>643.78</v>
      </c>
      <c r="L379" s="8">
        <f t="shared" si="17"/>
        <v>0.55044632169362839</v>
      </c>
    </row>
    <row r="380" spans="1:12" x14ac:dyDescent="0.2">
      <c r="A380" t="s">
        <v>638</v>
      </c>
      <c r="B380" s="1" t="d">
        <v>2025-01-21</v>
      </c>
      <c r="C380" s="1" t="str">
        <f t="shared" si="15"/>
        <v>January 2025</v>
      </c>
      <c r="D380" t="s">
        <v>639</v>
      </c>
      <c r="E380" t="s">
        <v>135</v>
      </c>
      <c r="F380" t="s">
        <v>16</v>
      </c>
      <c r="G380" t="str">
        <f t="shared" si="16"/>
        <v>Campaign</v>
      </c>
      <c r="H380">
        <v>1</v>
      </c>
      <c r="I380" s="4">
        <v>0.2</v>
      </c>
      <c r="J380">
        <v>162.54</v>
      </c>
      <c r="K380" s="6">
        <v>0.31</v>
      </c>
      <c r="L380" s="8">
        <f t="shared" si="17"/>
        <v>1.9072228374553957E-3</v>
      </c>
    </row>
    <row r="381" spans="1:12" x14ac:dyDescent="0.2">
      <c r="A381" t="s">
        <v>640</v>
      </c>
      <c r="B381" s="1" t="d">
        <v>2024-07-10</v>
      </c>
      <c r="C381" s="1" t="str">
        <f t="shared" si="15"/>
        <v>July 2024</v>
      </c>
      <c r="D381" t="s">
        <v>358</v>
      </c>
      <c r="E381" t="s">
        <v>41</v>
      </c>
      <c r="F381" t="s">
        <v>109</v>
      </c>
      <c r="G381" t="str">
        <f t="shared" si="16"/>
        <v>Campaign</v>
      </c>
      <c r="H381">
        <v>4</v>
      </c>
      <c r="I381" s="4">
        <v>0.15</v>
      </c>
      <c r="J381">
        <v>1409.2</v>
      </c>
      <c r="K381" s="6">
        <v>212.2</v>
      </c>
      <c r="L381" s="8">
        <f t="shared" si="17"/>
        <v>0.15058189043428893</v>
      </c>
    </row>
    <row r="382" spans="1:12" x14ac:dyDescent="0.2">
      <c r="A382" t="s">
        <v>641</v>
      </c>
      <c r="B382" s="1" t="d">
        <v>2025-02-15</v>
      </c>
      <c r="C382" s="1" t="str">
        <f t="shared" si="15"/>
        <v>February 2025</v>
      </c>
      <c r="D382" t="s">
        <v>628</v>
      </c>
      <c r="E382" t="s">
        <v>106</v>
      </c>
      <c r="F382" t="s">
        <v>12</v>
      </c>
      <c r="G382" t="str">
        <f t="shared" si="16"/>
        <v>Campaign</v>
      </c>
      <c r="H382">
        <v>1</v>
      </c>
      <c r="I382" s="4">
        <v>0.1</v>
      </c>
      <c r="J382">
        <v>177.92</v>
      </c>
      <c r="K382" s="6">
        <v>82.28</v>
      </c>
      <c r="L382" s="8">
        <f t="shared" si="17"/>
        <v>0.46245503597122306</v>
      </c>
    </row>
    <row r="383" spans="1:12" x14ac:dyDescent="0.2">
      <c r="A383" t="s">
        <v>642</v>
      </c>
      <c r="B383" s="1" t="d">
        <v>2025-05-24</v>
      </c>
      <c r="C383" s="1" t="str">
        <f t="shared" si="15"/>
        <v>May 2025</v>
      </c>
      <c r="D383" t="s">
        <v>550</v>
      </c>
      <c r="E383" t="s">
        <v>193</v>
      </c>
      <c r="F383" t="s">
        <v>1337</v>
      </c>
      <c r="G383" t="str">
        <f t="shared" si="16"/>
        <v>Non-Campaign</v>
      </c>
      <c r="H383">
        <v>2</v>
      </c>
      <c r="I383" s="4">
        <v>0.3</v>
      </c>
      <c r="J383">
        <v>464.72</v>
      </c>
      <c r="K383" s="6">
        <v>54.46</v>
      </c>
      <c r="L383" s="8">
        <f t="shared" si="17"/>
        <v>0.11718884489585125</v>
      </c>
    </row>
    <row r="384" spans="1:12" x14ac:dyDescent="0.2">
      <c r="A384" t="s">
        <v>643</v>
      </c>
      <c r="B384" s="1" t="d">
        <v>2025-05-02</v>
      </c>
      <c r="C384" s="1" t="str">
        <f t="shared" si="15"/>
        <v>May 2025</v>
      </c>
      <c r="D384" t="s">
        <v>283</v>
      </c>
      <c r="E384" t="s">
        <v>103</v>
      </c>
      <c r="F384" t="s">
        <v>12</v>
      </c>
      <c r="G384" t="str">
        <f t="shared" si="16"/>
        <v>Campaign</v>
      </c>
      <c r="H384">
        <v>4</v>
      </c>
      <c r="I384" s="4">
        <v>0.3</v>
      </c>
      <c r="J384">
        <v>264.95999999999998</v>
      </c>
      <c r="K384" s="6">
        <v>-31.36</v>
      </c>
      <c r="L384" s="8">
        <f t="shared" si="17"/>
        <v>-0.11835748792270533</v>
      </c>
    </row>
    <row r="385" spans="1:12" x14ac:dyDescent="0.2">
      <c r="A385" t="s">
        <v>644</v>
      </c>
      <c r="B385" s="1" t="d">
        <v>2025-04-28</v>
      </c>
      <c r="C385" s="1" t="str">
        <f t="shared" si="15"/>
        <v>April 2025</v>
      </c>
      <c r="D385" t="s">
        <v>349</v>
      </c>
      <c r="E385" t="s">
        <v>106</v>
      </c>
      <c r="F385" t="s">
        <v>1337</v>
      </c>
      <c r="G385" t="str">
        <f t="shared" si="16"/>
        <v>Non-Campaign</v>
      </c>
      <c r="H385">
        <v>3</v>
      </c>
      <c r="I385" s="4">
        <v>0.2</v>
      </c>
      <c r="J385">
        <v>474.46</v>
      </c>
      <c r="K385" s="6">
        <v>187.54</v>
      </c>
      <c r="L385" s="8">
        <f t="shared" si="17"/>
        <v>0.39527041267967794</v>
      </c>
    </row>
    <row r="386" spans="1:12" x14ac:dyDescent="0.2">
      <c r="A386" t="s">
        <v>645</v>
      </c>
      <c r="B386" s="1" t="d">
        <v>2024-12-27</v>
      </c>
      <c r="C386" s="1" t="str">
        <f t="shared" ref="C386:C449" si="18">TEXT(B386, "mmmm yyyy")</f>
        <v>December 2024</v>
      </c>
      <c r="D386" t="s">
        <v>137</v>
      </c>
      <c r="E386" t="s">
        <v>165</v>
      </c>
      <c r="F386" t="s">
        <v>1337</v>
      </c>
      <c r="G386" t="str">
        <f t="shared" ref="G386:G449" si="19">IF(F386="No Campaign", "Non-Campaign", "Campaign")</f>
        <v>Non-Campaign</v>
      </c>
      <c r="H386">
        <v>3</v>
      </c>
      <c r="I386" s="4">
        <v>0.05</v>
      </c>
      <c r="J386">
        <v>227.77</v>
      </c>
      <c r="K386" s="6">
        <v>43.42</v>
      </c>
      <c r="L386" s="8">
        <f t="shared" ref="L386:L449" si="20">IF(J386=0, 0,K386/J386)</f>
        <v>0.19063089959169338</v>
      </c>
    </row>
    <row r="387" spans="1:12" x14ac:dyDescent="0.2">
      <c r="A387" t="s">
        <v>646</v>
      </c>
      <c r="B387" s="1" t="d">
        <v>2024-09-23</v>
      </c>
      <c r="C387" s="1" t="str">
        <f t="shared" si="18"/>
        <v>September 2024</v>
      </c>
      <c r="D387" t="s">
        <v>123</v>
      </c>
      <c r="E387" t="s">
        <v>165</v>
      </c>
      <c r="F387" t="s">
        <v>30</v>
      </c>
      <c r="G387" t="str">
        <f t="shared" si="19"/>
        <v>Campaign</v>
      </c>
      <c r="H387">
        <v>1</v>
      </c>
      <c r="I387" s="4">
        <v>0.1</v>
      </c>
      <c r="J387">
        <v>71.930000000000007</v>
      </c>
      <c r="K387" s="6">
        <v>10.48</v>
      </c>
      <c r="L387" s="8">
        <f t="shared" si="20"/>
        <v>0.14569720561657165</v>
      </c>
    </row>
    <row r="388" spans="1:12" x14ac:dyDescent="0.2">
      <c r="A388" t="s">
        <v>647</v>
      </c>
      <c r="B388" s="1" t="d">
        <v>2024-07-02</v>
      </c>
      <c r="C388" s="1" t="str">
        <f t="shared" si="18"/>
        <v>July 2024</v>
      </c>
      <c r="D388" t="s">
        <v>294</v>
      </c>
      <c r="E388" t="s">
        <v>119</v>
      </c>
      <c r="F388" t="s">
        <v>1337</v>
      </c>
      <c r="G388" t="str">
        <f t="shared" si="19"/>
        <v>Non-Campaign</v>
      </c>
      <c r="H388">
        <v>5</v>
      </c>
      <c r="I388" s="4">
        <v>0.1</v>
      </c>
      <c r="J388">
        <v>563.72</v>
      </c>
      <c r="K388" s="6">
        <v>63.27</v>
      </c>
      <c r="L388" s="8">
        <f t="shared" si="20"/>
        <v>0.11223657134747747</v>
      </c>
    </row>
    <row r="389" spans="1:12" x14ac:dyDescent="0.2">
      <c r="A389" t="s">
        <v>648</v>
      </c>
      <c r="B389" s="1" t="d">
        <v>2024-12-14</v>
      </c>
      <c r="C389" s="1" t="str">
        <f t="shared" si="18"/>
        <v>December 2024</v>
      </c>
      <c r="D389" t="s">
        <v>401</v>
      </c>
      <c r="E389" t="s">
        <v>103</v>
      </c>
      <c r="F389" t="s">
        <v>16</v>
      </c>
      <c r="G389" t="str">
        <f t="shared" si="19"/>
        <v>Campaign</v>
      </c>
      <c r="H389">
        <v>1</v>
      </c>
      <c r="I389" s="4">
        <v>0.05</v>
      </c>
      <c r="J389">
        <v>89.9</v>
      </c>
      <c r="K389" s="6">
        <v>15.82</v>
      </c>
      <c r="L389" s="8">
        <f t="shared" si="20"/>
        <v>0.17597330367074526</v>
      </c>
    </row>
    <row r="390" spans="1:12" x14ac:dyDescent="0.2">
      <c r="A390" t="s">
        <v>649</v>
      </c>
      <c r="B390" s="1" t="d">
        <v>2024-08-06</v>
      </c>
      <c r="C390" s="1" t="str">
        <f t="shared" si="18"/>
        <v>August 2024</v>
      </c>
      <c r="D390" t="s">
        <v>315</v>
      </c>
      <c r="E390" t="s">
        <v>72</v>
      </c>
      <c r="F390" t="s">
        <v>12</v>
      </c>
      <c r="G390" t="str">
        <f t="shared" si="19"/>
        <v>Campaign</v>
      </c>
      <c r="H390">
        <v>2</v>
      </c>
      <c r="I390" s="4">
        <v>0.2</v>
      </c>
      <c r="J390">
        <v>103.23</v>
      </c>
      <c r="K390" s="6">
        <v>46.63</v>
      </c>
      <c r="L390" s="8">
        <f t="shared" si="20"/>
        <v>0.45170977429041947</v>
      </c>
    </row>
    <row r="391" spans="1:12" x14ac:dyDescent="0.2">
      <c r="A391" t="s">
        <v>650</v>
      </c>
      <c r="B391" s="1" t="d">
        <v>2024-09-10</v>
      </c>
      <c r="C391" s="1" t="str">
        <f t="shared" si="18"/>
        <v>September 2024</v>
      </c>
      <c r="D391" t="s">
        <v>651</v>
      </c>
      <c r="E391" t="s">
        <v>44</v>
      </c>
      <c r="F391" t="s">
        <v>16</v>
      </c>
      <c r="G391" t="str">
        <f t="shared" si="19"/>
        <v>Campaign</v>
      </c>
      <c r="H391">
        <v>2</v>
      </c>
      <c r="I391" s="4">
        <v>0.05</v>
      </c>
      <c r="J391">
        <v>305.39</v>
      </c>
      <c r="K391" s="6">
        <v>95.97</v>
      </c>
      <c r="L391" s="8">
        <f t="shared" si="20"/>
        <v>0.31425390484298765</v>
      </c>
    </row>
    <row r="392" spans="1:12" x14ac:dyDescent="0.2">
      <c r="A392" t="s">
        <v>652</v>
      </c>
      <c r="B392" s="1" t="d">
        <v>2025-03-25</v>
      </c>
      <c r="C392" s="1" t="str">
        <f t="shared" si="18"/>
        <v>March 2025</v>
      </c>
      <c r="D392" t="s">
        <v>653</v>
      </c>
      <c r="E392" t="s">
        <v>119</v>
      </c>
      <c r="F392" t="s">
        <v>1337</v>
      </c>
      <c r="G392" t="str">
        <f t="shared" si="19"/>
        <v>Non-Campaign</v>
      </c>
      <c r="H392">
        <v>5</v>
      </c>
      <c r="I392" s="4">
        <v>0</v>
      </c>
      <c r="J392">
        <v>626.35</v>
      </c>
      <c r="K392" s="6">
        <v>125.9</v>
      </c>
      <c r="L392" s="8">
        <f t="shared" si="20"/>
        <v>0.20100582741278838</v>
      </c>
    </row>
    <row r="393" spans="1:12" x14ac:dyDescent="0.2">
      <c r="A393" t="s">
        <v>654</v>
      </c>
      <c r="B393" s="1" t="d">
        <v>2024-11-28</v>
      </c>
      <c r="C393" s="1" t="str">
        <f t="shared" si="18"/>
        <v>November 2024</v>
      </c>
      <c r="D393" t="s">
        <v>49</v>
      </c>
      <c r="E393" t="s">
        <v>148</v>
      </c>
      <c r="F393" t="s">
        <v>16</v>
      </c>
      <c r="G393" t="str">
        <f t="shared" si="19"/>
        <v>Campaign</v>
      </c>
      <c r="H393">
        <v>5</v>
      </c>
      <c r="I393" s="4">
        <v>0.05</v>
      </c>
      <c r="J393">
        <v>2351.11</v>
      </c>
      <c r="K393" s="6">
        <v>727.61</v>
      </c>
      <c r="L393" s="8">
        <f t="shared" si="20"/>
        <v>0.30947509899579345</v>
      </c>
    </row>
    <row r="394" spans="1:12" x14ac:dyDescent="0.2">
      <c r="A394" t="s">
        <v>655</v>
      </c>
      <c r="B394" s="1" t="d">
        <v>2024-08-21</v>
      </c>
      <c r="C394" s="1" t="str">
        <f t="shared" si="18"/>
        <v>August 2024</v>
      </c>
      <c r="D394" t="s">
        <v>656</v>
      </c>
      <c r="E394" t="s">
        <v>50</v>
      </c>
      <c r="F394" t="s">
        <v>109</v>
      </c>
      <c r="G394" t="str">
        <f t="shared" si="19"/>
        <v>Campaign</v>
      </c>
      <c r="H394">
        <v>2</v>
      </c>
      <c r="I394" s="4">
        <v>0.15</v>
      </c>
      <c r="J394">
        <v>628.97</v>
      </c>
      <c r="K394" s="6">
        <v>284.63</v>
      </c>
      <c r="L394" s="8">
        <f t="shared" si="20"/>
        <v>0.45253350716250373</v>
      </c>
    </row>
    <row r="395" spans="1:12" x14ac:dyDescent="0.2">
      <c r="A395" t="s">
        <v>657</v>
      </c>
      <c r="B395" s="1" t="d">
        <v>2024-08-27</v>
      </c>
      <c r="C395" s="1" t="str">
        <f t="shared" si="18"/>
        <v>August 2024</v>
      </c>
      <c r="D395" t="s">
        <v>658</v>
      </c>
      <c r="E395" t="s">
        <v>26</v>
      </c>
      <c r="F395" t="s">
        <v>12</v>
      </c>
      <c r="G395" t="str">
        <f t="shared" si="19"/>
        <v>Campaign</v>
      </c>
      <c r="H395">
        <v>2</v>
      </c>
      <c r="I395" s="4">
        <v>0.2</v>
      </c>
      <c r="J395">
        <v>356.03</v>
      </c>
      <c r="K395" s="6">
        <v>172.71</v>
      </c>
      <c r="L395" s="8">
        <f t="shared" si="20"/>
        <v>0.48509957026093314</v>
      </c>
    </row>
    <row r="396" spans="1:12" x14ac:dyDescent="0.2">
      <c r="A396" t="s">
        <v>659</v>
      </c>
      <c r="B396" s="1" t="d">
        <v>2024-09-30</v>
      </c>
      <c r="C396" s="1" t="str">
        <f t="shared" si="18"/>
        <v>September 2024</v>
      </c>
      <c r="D396" t="s">
        <v>660</v>
      </c>
      <c r="E396" t="s">
        <v>29</v>
      </c>
      <c r="F396" t="s">
        <v>1337</v>
      </c>
      <c r="G396" t="str">
        <f t="shared" si="19"/>
        <v>Non-Campaign</v>
      </c>
      <c r="H396">
        <v>1</v>
      </c>
      <c r="I396" s="4">
        <v>0.1</v>
      </c>
      <c r="J396">
        <v>338.35</v>
      </c>
      <c r="K396" s="6">
        <v>151.15</v>
      </c>
      <c r="L396" s="8">
        <f t="shared" si="20"/>
        <v>0.44672676222846164</v>
      </c>
    </row>
    <row r="397" spans="1:12" x14ac:dyDescent="0.2">
      <c r="A397" t="s">
        <v>661</v>
      </c>
      <c r="B397" s="1" t="d">
        <v>2024-07-05</v>
      </c>
      <c r="C397" s="1" t="str">
        <f t="shared" si="18"/>
        <v>July 2024</v>
      </c>
      <c r="D397" t="s">
        <v>57</v>
      </c>
      <c r="E397" t="s">
        <v>119</v>
      </c>
      <c r="F397" t="s">
        <v>16</v>
      </c>
      <c r="G397" t="str">
        <f t="shared" si="19"/>
        <v>Campaign</v>
      </c>
      <c r="H397">
        <v>3</v>
      </c>
      <c r="I397" s="4">
        <v>0.3</v>
      </c>
      <c r="J397">
        <v>263.07</v>
      </c>
      <c r="K397" s="6">
        <v>-37.200000000000003</v>
      </c>
      <c r="L397" s="8">
        <f t="shared" si="20"/>
        <v>-0.14140723001482497</v>
      </c>
    </row>
    <row r="398" spans="1:12" x14ac:dyDescent="0.2">
      <c r="A398" t="s">
        <v>662</v>
      </c>
      <c r="B398" s="1" t="d">
        <v>2024-08-24</v>
      </c>
      <c r="C398" s="1" t="str">
        <f t="shared" si="18"/>
        <v>August 2024</v>
      </c>
      <c r="D398" t="s">
        <v>252</v>
      </c>
      <c r="E398" t="s">
        <v>138</v>
      </c>
      <c r="F398" t="s">
        <v>1337</v>
      </c>
      <c r="G398" t="str">
        <f t="shared" si="19"/>
        <v>Non-Campaign</v>
      </c>
      <c r="H398">
        <v>1</v>
      </c>
      <c r="I398" s="4">
        <v>0</v>
      </c>
      <c r="J398">
        <v>433.17</v>
      </c>
      <c r="K398" s="6">
        <v>257.91000000000003</v>
      </c>
      <c r="L398" s="8">
        <f t="shared" si="20"/>
        <v>0.59540134358335073</v>
      </c>
    </row>
    <row r="399" spans="1:12" x14ac:dyDescent="0.2">
      <c r="A399" t="s">
        <v>663</v>
      </c>
      <c r="B399" s="1" t="d">
        <v>2025-05-14</v>
      </c>
      <c r="C399" s="1" t="str">
        <f t="shared" si="18"/>
        <v>May 2025</v>
      </c>
      <c r="D399" t="s">
        <v>622</v>
      </c>
      <c r="E399" t="s">
        <v>148</v>
      </c>
      <c r="F399" t="s">
        <v>16</v>
      </c>
      <c r="G399" t="str">
        <f t="shared" si="19"/>
        <v>Campaign</v>
      </c>
      <c r="H399">
        <v>1</v>
      </c>
      <c r="I399" s="4">
        <v>0.2</v>
      </c>
      <c r="J399">
        <v>395.98</v>
      </c>
      <c r="K399" s="6">
        <v>71.28</v>
      </c>
      <c r="L399" s="8">
        <f t="shared" si="20"/>
        <v>0.18000909136825091</v>
      </c>
    </row>
    <row r="400" spans="1:12" x14ac:dyDescent="0.2">
      <c r="A400" t="s">
        <v>664</v>
      </c>
      <c r="B400" s="1" t="d">
        <v>2025-03-28</v>
      </c>
      <c r="C400" s="1" t="str">
        <f t="shared" si="18"/>
        <v>March 2025</v>
      </c>
      <c r="D400" t="s">
        <v>665</v>
      </c>
      <c r="E400" t="s">
        <v>26</v>
      </c>
      <c r="F400" t="s">
        <v>1337</v>
      </c>
      <c r="G400" t="str">
        <f t="shared" si="19"/>
        <v>Non-Campaign</v>
      </c>
      <c r="H400">
        <v>4</v>
      </c>
      <c r="I400" s="4">
        <v>0.2</v>
      </c>
      <c r="J400">
        <v>712.06</v>
      </c>
      <c r="K400" s="6">
        <v>345.42</v>
      </c>
      <c r="L400" s="8">
        <f t="shared" si="20"/>
        <v>0.48509957026093314</v>
      </c>
    </row>
    <row r="401" spans="1:12" x14ac:dyDescent="0.2">
      <c r="A401" t="s">
        <v>666</v>
      </c>
      <c r="B401" s="1" t="d">
        <v>2025-01-30</v>
      </c>
      <c r="C401" s="1" t="str">
        <f t="shared" si="18"/>
        <v>January 2025</v>
      </c>
      <c r="D401" t="s">
        <v>667</v>
      </c>
      <c r="E401" t="s">
        <v>165</v>
      </c>
      <c r="F401" t="s">
        <v>109</v>
      </c>
      <c r="G401" t="str">
        <f t="shared" si="19"/>
        <v>Campaign</v>
      </c>
      <c r="H401">
        <v>3</v>
      </c>
      <c r="I401" s="4">
        <v>0.05</v>
      </c>
      <c r="J401">
        <v>227.77</v>
      </c>
      <c r="K401" s="6">
        <v>43.42</v>
      </c>
      <c r="L401" s="8">
        <f t="shared" si="20"/>
        <v>0.19063089959169338</v>
      </c>
    </row>
    <row r="402" spans="1:12" x14ac:dyDescent="0.2">
      <c r="A402" t="s">
        <v>668</v>
      </c>
      <c r="B402" s="1" t="d">
        <v>2025-05-08</v>
      </c>
      <c r="C402" s="1" t="str">
        <f t="shared" si="18"/>
        <v>May 2025</v>
      </c>
      <c r="D402" t="s">
        <v>245</v>
      </c>
      <c r="E402" t="s">
        <v>85</v>
      </c>
      <c r="F402" t="s">
        <v>1337</v>
      </c>
      <c r="G402" t="str">
        <f t="shared" si="19"/>
        <v>Non-Campaign</v>
      </c>
      <c r="H402">
        <v>4</v>
      </c>
      <c r="I402" s="4">
        <v>0.3</v>
      </c>
      <c r="J402">
        <v>411.99</v>
      </c>
      <c r="K402" s="6">
        <v>118.51</v>
      </c>
      <c r="L402" s="8">
        <f t="shared" si="20"/>
        <v>0.28765261292749822</v>
      </c>
    </row>
    <row r="403" spans="1:12" x14ac:dyDescent="0.2">
      <c r="A403" t="s">
        <v>669</v>
      </c>
      <c r="B403" s="1" t="d">
        <v>2025-01-24</v>
      </c>
      <c r="C403" s="1" t="str">
        <f t="shared" si="18"/>
        <v>January 2025</v>
      </c>
      <c r="D403" t="s">
        <v>653</v>
      </c>
      <c r="E403" t="s">
        <v>35</v>
      </c>
      <c r="F403" t="s">
        <v>1337</v>
      </c>
      <c r="G403" t="str">
        <f t="shared" si="19"/>
        <v>Non-Campaign</v>
      </c>
      <c r="H403">
        <v>2</v>
      </c>
      <c r="I403" s="4">
        <v>0.3</v>
      </c>
      <c r="J403">
        <v>423.99</v>
      </c>
      <c r="K403" s="6">
        <v>-14.39</v>
      </c>
      <c r="L403" s="8">
        <f t="shared" si="20"/>
        <v>-3.3939479704710014E-2</v>
      </c>
    </row>
    <row r="404" spans="1:12" x14ac:dyDescent="0.2">
      <c r="A404" t="s">
        <v>670</v>
      </c>
      <c r="B404" s="1" t="d">
        <v>2025-04-15</v>
      </c>
      <c r="C404" s="1" t="str">
        <f t="shared" si="18"/>
        <v>April 2025</v>
      </c>
      <c r="D404" t="s">
        <v>118</v>
      </c>
      <c r="E404" t="s">
        <v>177</v>
      </c>
      <c r="F404" t="s">
        <v>109</v>
      </c>
      <c r="G404" t="str">
        <f t="shared" si="19"/>
        <v>Campaign</v>
      </c>
      <c r="H404">
        <v>3</v>
      </c>
      <c r="I404" s="4">
        <v>0.05</v>
      </c>
      <c r="J404">
        <v>320.05</v>
      </c>
      <c r="K404" s="6">
        <v>175.93</v>
      </c>
      <c r="L404" s="8">
        <f t="shared" si="20"/>
        <v>0.54969536009998443</v>
      </c>
    </row>
    <row r="405" spans="1:12" x14ac:dyDescent="0.2">
      <c r="A405" t="s">
        <v>671</v>
      </c>
      <c r="B405" s="1" t="d">
        <v>2024-08-25</v>
      </c>
      <c r="C405" s="1" t="str">
        <f t="shared" si="18"/>
        <v>August 2024</v>
      </c>
      <c r="D405" t="s">
        <v>252</v>
      </c>
      <c r="E405" t="s">
        <v>85</v>
      </c>
      <c r="F405" t="s">
        <v>12</v>
      </c>
      <c r="G405" t="str">
        <f t="shared" si="19"/>
        <v>Campaign</v>
      </c>
      <c r="H405">
        <v>5</v>
      </c>
      <c r="I405" s="4">
        <v>0.15</v>
      </c>
      <c r="J405">
        <v>625.34</v>
      </c>
      <c r="K405" s="6">
        <v>258.49</v>
      </c>
      <c r="L405" s="8">
        <f t="shared" si="20"/>
        <v>0.41335913263184826</v>
      </c>
    </row>
    <row r="406" spans="1:12" x14ac:dyDescent="0.2">
      <c r="A406" t="s">
        <v>672</v>
      </c>
      <c r="B406" s="1" t="d">
        <v>2025-03-13</v>
      </c>
      <c r="C406" s="1" t="str">
        <f t="shared" si="18"/>
        <v>March 2025</v>
      </c>
      <c r="D406" t="s">
        <v>386</v>
      </c>
      <c r="E406" t="s">
        <v>58</v>
      </c>
      <c r="F406" t="s">
        <v>16</v>
      </c>
      <c r="G406" t="str">
        <f t="shared" si="19"/>
        <v>Campaign</v>
      </c>
      <c r="H406">
        <v>5</v>
      </c>
      <c r="I406" s="4">
        <v>0.1</v>
      </c>
      <c r="J406">
        <v>311.39999999999998</v>
      </c>
      <c r="K406" s="6">
        <v>70.5</v>
      </c>
      <c r="L406" s="8">
        <f t="shared" si="20"/>
        <v>0.22639691714836224</v>
      </c>
    </row>
    <row r="407" spans="1:12" x14ac:dyDescent="0.2">
      <c r="A407" t="s">
        <v>673</v>
      </c>
      <c r="B407" s="1" t="d">
        <v>2025-02-13</v>
      </c>
      <c r="C407" s="1" t="str">
        <f t="shared" si="18"/>
        <v>February 2025</v>
      </c>
      <c r="D407" t="s">
        <v>674</v>
      </c>
      <c r="E407" t="s">
        <v>41</v>
      </c>
      <c r="F407" t="s">
        <v>20</v>
      </c>
      <c r="G407" t="str">
        <f t="shared" si="19"/>
        <v>Campaign</v>
      </c>
      <c r="H407">
        <v>4</v>
      </c>
      <c r="I407" s="4">
        <v>0.05</v>
      </c>
      <c r="J407">
        <v>1574.99</v>
      </c>
      <c r="K407" s="6">
        <v>377.99</v>
      </c>
      <c r="L407" s="8">
        <f t="shared" si="20"/>
        <v>0.23999517457253697</v>
      </c>
    </row>
    <row r="408" spans="1:12" x14ac:dyDescent="0.2">
      <c r="A408" t="s">
        <v>675</v>
      </c>
      <c r="B408" s="1" t="d">
        <v>2025-06-17</v>
      </c>
      <c r="C408" s="1" t="str">
        <f t="shared" si="18"/>
        <v>June 2025</v>
      </c>
      <c r="D408" t="s">
        <v>634</v>
      </c>
      <c r="E408" t="s">
        <v>85</v>
      </c>
      <c r="F408" t="s">
        <v>20</v>
      </c>
      <c r="G408" t="str">
        <f t="shared" si="19"/>
        <v>Campaign</v>
      </c>
      <c r="H408">
        <v>2</v>
      </c>
      <c r="I408" s="4">
        <v>0.1</v>
      </c>
      <c r="J408">
        <v>264.85000000000002</v>
      </c>
      <c r="K408" s="6">
        <v>118.11</v>
      </c>
      <c r="L408" s="8">
        <f t="shared" si="20"/>
        <v>0.44595053804040019</v>
      </c>
    </row>
    <row r="409" spans="1:12" x14ac:dyDescent="0.2">
      <c r="A409" t="s">
        <v>676</v>
      </c>
      <c r="B409" s="1" t="d">
        <v>2025-05-20</v>
      </c>
      <c r="C409" s="1" t="str">
        <f t="shared" si="18"/>
        <v>May 2025</v>
      </c>
      <c r="D409" t="s">
        <v>202</v>
      </c>
      <c r="E409" t="s">
        <v>35</v>
      </c>
      <c r="F409" t="s">
        <v>20</v>
      </c>
      <c r="G409" t="str">
        <f t="shared" si="19"/>
        <v>Campaign</v>
      </c>
      <c r="H409">
        <v>3</v>
      </c>
      <c r="I409" s="4">
        <v>0.15</v>
      </c>
      <c r="J409">
        <v>772.27</v>
      </c>
      <c r="K409" s="6">
        <v>114.7</v>
      </c>
      <c r="L409" s="8">
        <f t="shared" si="20"/>
        <v>0.14852318489647404</v>
      </c>
    </row>
    <row r="410" spans="1:12" x14ac:dyDescent="0.2">
      <c r="A410" t="s">
        <v>677</v>
      </c>
      <c r="B410" s="1" t="d">
        <v>2024-07-15</v>
      </c>
      <c r="C410" s="1" t="str">
        <f t="shared" si="18"/>
        <v>July 2024</v>
      </c>
      <c r="D410" t="s">
        <v>451</v>
      </c>
      <c r="E410" t="s">
        <v>72</v>
      </c>
      <c r="F410" t="s">
        <v>30</v>
      </c>
      <c r="G410" t="str">
        <f t="shared" si="19"/>
        <v>Campaign</v>
      </c>
      <c r="H410">
        <v>2</v>
      </c>
      <c r="I410" s="4">
        <v>0.3</v>
      </c>
      <c r="J410">
        <v>90.33</v>
      </c>
      <c r="K410" s="6">
        <v>33.729999999999997</v>
      </c>
      <c r="L410" s="8">
        <f t="shared" si="20"/>
        <v>0.37340861286394328</v>
      </c>
    </row>
    <row r="411" spans="1:12" x14ac:dyDescent="0.2">
      <c r="A411" t="s">
        <v>678</v>
      </c>
      <c r="B411" s="1" t="d">
        <v>2024-10-19</v>
      </c>
      <c r="C411" s="1" t="str">
        <f t="shared" si="18"/>
        <v>October 2024</v>
      </c>
      <c r="D411" t="s">
        <v>37</v>
      </c>
      <c r="E411" t="s">
        <v>44</v>
      </c>
      <c r="F411" t="s">
        <v>109</v>
      </c>
      <c r="G411" t="str">
        <f t="shared" si="19"/>
        <v>Campaign</v>
      </c>
      <c r="H411">
        <v>1</v>
      </c>
      <c r="I411" s="4">
        <v>0.3</v>
      </c>
      <c r="J411">
        <v>112.51</v>
      </c>
      <c r="K411" s="6">
        <v>7.8</v>
      </c>
      <c r="L411" s="8">
        <f t="shared" si="20"/>
        <v>6.9327170918140599E-2</v>
      </c>
    </row>
    <row r="412" spans="1:12" x14ac:dyDescent="0.2">
      <c r="A412" t="s">
        <v>679</v>
      </c>
      <c r="B412" s="1" t="d">
        <v>2024-08-29</v>
      </c>
      <c r="C412" s="1" t="str">
        <f t="shared" si="18"/>
        <v>August 2024</v>
      </c>
      <c r="D412" t="s">
        <v>531</v>
      </c>
      <c r="E412" t="s">
        <v>58</v>
      </c>
      <c r="F412" t="s">
        <v>1337</v>
      </c>
      <c r="G412" t="str">
        <f t="shared" si="19"/>
        <v>Non-Campaign</v>
      </c>
      <c r="H412">
        <v>4</v>
      </c>
      <c r="I412" s="4">
        <v>0.3</v>
      </c>
      <c r="J412">
        <v>193.76</v>
      </c>
      <c r="K412" s="6">
        <v>1.04</v>
      </c>
      <c r="L412" s="8">
        <f t="shared" si="20"/>
        <v>5.3674649050371595E-3</v>
      </c>
    </row>
    <row r="413" spans="1:12" x14ac:dyDescent="0.2">
      <c r="A413" t="s">
        <v>680</v>
      </c>
      <c r="B413" s="1" t="d">
        <v>2025-03-31</v>
      </c>
      <c r="C413" s="1" t="str">
        <f t="shared" si="18"/>
        <v>March 2025</v>
      </c>
      <c r="D413" t="s">
        <v>592</v>
      </c>
      <c r="E413" t="s">
        <v>35</v>
      </c>
      <c r="F413" t="s">
        <v>1337</v>
      </c>
      <c r="G413" t="str">
        <f t="shared" si="19"/>
        <v>Non-Campaign</v>
      </c>
      <c r="H413">
        <v>4</v>
      </c>
      <c r="I413" s="4">
        <v>0.15</v>
      </c>
      <c r="J413">
        <v>1029.69</v>
      </c>
      <c r="K413" s="6">
        <v>152.93</v>
      </c>
      <c r="L413" s="8">
        <f t="shared" si="20"/>
        <v>0.1485204284784741</v>
      </c>
    </row>
    <row r="414" spans="1:12" x14ac:dyDescent="0.2">
      <c r="A414" t="s">
        <v>681</v>
      </c>
      <c r="B414" s="1" t="d">
        <v>2024-12-11</v>
      </c>
      <c r="C414" s="1" t="str">
        <f t="shared" si="18"/>
        <v>December 2024</v>
      </c>
      <c r="D414" t="s">
        <v>682</v>
      </c>
      <c r="E414" t="s">
        <v>50</v>
      </c>
      <c r="F414" t="s">
        <v>1337</v>
      </c>
      <c r="G414" t="str">
        <f t="shared" si="19"/>
        <v>Non-Campaign</v>
      </c>
      <c r="H414">
        <v>1</v>
      </c>
      <c r="I414" s="4">
        <v>0.15</v>
      </c>
      <c r="J414">
        <v>314.48</v>
      </c>
      <c r="K414" s="6">
        <v>142.31</v>
      </c>
      <c r="L414" s="8">
        <f t="shared" si="20"/>
        <v>0.45252480284914776</v>
      </c>
    </row>
    <row r="415" spans="1:12" x14ac:dyDescent="0.2">
      <c r="A415" t="s">
        <v>683</v>
      </c>
      <c r="B415" s="1" t="d">
        <v>2024-07-29</v>
      </c>
      <c r="C415" s="1" t="str">
        <f t="shared" si="18"/>
        <v>July 2024</v>
      </c>
      <c r="D415" t="s">
        <v>526</v>
      </c>
      <c r="E415" t="s">
        <v>41</v>
      </c>
      <c r="F415" t="s">
        <v>30</v>
      </c>
      <c r="G415" t="str">
        <f t="shared" si="19"/>
        <v>Campaign</v>
      </c>
      <c r="H415">
        <v>2</v>
      </c>
      <c r="I415" s="4">
        <v>0.15</v>
      </c>
      <c r="J415">
        <v>704.6</v>
      </c>
      <c r="K415" s="6">
        <v>106.1</v>
      </c>
      <c r="L415" s="8">
        <f t="shared" si="20"/>
        <v>0.15058189043428893</v>
      </c>
    </row>
    <row r="416" spans="1:12" x14ac:dyDescent="0.2">
      <c r="A416" t="s">
        <v>684</v>
      </c>
      <c r="B416" s="1" t="d">
        <v>2025-02-10</v>
      </c>
      <c r="C416" s="1" t="str">
        <f t="shared" si="18"/>
        <v>February 2025</v>
      </c>
      <c r="D416" t="s">
        <v>132</v>
      </c>
      <c r="E416" t="s">
        <v>119</v>
      </c>
      <c r="F416" t="s">
        <v>12</v>
      </c>
      <c r="G416" t="str">
        <f t="shared" si="19"/>
        <v>Campaign</v>
      </c>
      <c r="H416">
        <v>3</v>
      </c>
      <c r="I416" s="4">
        <v>0</v>
      </c>
      <c r="J416">
        <v>375.81</v>
      </c>
      <c r="K416" s="6">
        <v>75.540000000000006</v>
      </c>
      <c r="L416" s="8">
        <f t="shared" si="20"/>
        <v>0.20100582741278838</v>
      </c>
    </row>
    <row r="417" spans="1:12" x14ac:dyDescent="0.2">
      <c r="A417" t="s">
        <v>685</v>
      </c>
      <c r="B417" s="1" t="d">
        <v>2025-04-26</v>
      </c>
      <c r="C417" s="1" t="str">
        <f t="shared" si="18"/>
        <v>April 2025</v>
      </c>
      <c r="D417" t="s">
        <v>202</v>
      </c>
      <c r="E417" t="s">
        <v>72</v>
      </c>
      <c r="F417" t="s">
        <v>20</v>
      </c>
      <c r="G417" t="str">
        <f t="shared" si="19"/>
        <v>Campaign</v>
      </c>
      <c r="H417">
        <v>1</v>
      </c>
      <c r="I417" s="4">
        <v>0.1</v>
      </c>
      <c r="J417">
        <v>58.07</v>
      </c>
      <c r="K417" s="6">
        <v>29.77</v>
      </c>
      <c r="L417" s="8">
        <f t="shared" si="20"/>
        <v>0.51265713793697265</v>
      </c>
    </row>
    <row r="418" spans="1:12" x14ac:dyDescent="0.2">
      <c r="A418" t="s">
        <v>686</v>
      </c>
      <c r="B418" s="1" t="d">
        <v>2025-02-10</v>
      </c>
      <c r="C418" s="1" t="str">
        <f t="shared" si="18"/>
        <v>February 2025</v>
      </c>
      <c r="D418" t="s">
        <v>687</v>
      </c>
      <c r="E418" t="s">
        <v>135</v>
      </c>
      <c r="F418" t="s">
        <v>1337</v>
      </c>
      <c r="G418" t="str">
        <f t="shared" si="19"/>
        <v>Non-Campaign</v>
      </c>
      <c r="H418">
        <v>2</v>
      </c>
      <c r="I418" s="4">
        <v>0.3</v>
      </c>
      <c r="J418">
        <v>284.45</v>
      </c>
      <c r="K418" s="6">
        <v>-40.01</v>
      </c>
      <c r="L418" s="8">
        <f t="shared" si="20"/>
        <v>-0.14065740903497978</v>
      </c>
    </row>
    <row r="419" spans="1:12" x14ac:dyDescent="0.2">
      <c r="A419" t="s">
        <v>688</v>
      </c>
      <c r="B419" s="1" t="d">
        <v>2024-08-09</v>
      </c>
      <c r="C419" s="1" t="str">
        <f t="shared" si="18"/>
        <v>August 2024</v>
      </c>
      <c r="D419" t="s">
        <v>519</v>
      </c>
      <c r="E419" t="s">
        <v>50</v>
      </c>
      <c r="F419" t="s">
        <v>20</v>
      </c>
      <c r="G419" t="str">
        <f t="shared" si="19"/>
        <v>Campaign</v>
      </c>
      <c r="H419">
        <v>3</v>
      </c>
      <c r="I419" s="4">
        <v>0.2</v>
      </c>
      <c r="J419">
        <v>887.95</v>
      </c>
      <c r="K419" s="6">
        <v>371.44</v>
      </c>
      <c r="L419" s="8">
        <f t="shared" si="20"/>
        <v>0.41831184188298887</v>
      </c>
    </row>
    <row r="420" spans="1:12" x14ac:dyDescent="0.2">
      <c r="A420" t="s">
        <v>689</v>
      </c>
      <c r="B420" s="1" t="d">
        <v>2024-11-17</v>
      </c>
      <c r="C420" s="1" t="str">
        <f t="shared" si="18"/>
        <v>November 2024</v>
      </c>
      <c r="D420" t="s">
        <v>368</v>
      </c>
      <c r="E420" t="s">
        <v>53</v>
      </c>
      <c r="F420" t="s">
        <v>12</v>
      </c>
      <c r="G420" t="str">
        <f t="shared" si="19"/>
        <v>Campaign</v>
      </c>
      <c r="H420">
        <v>4</v>
      </c>
      <c r="I420" s="4">
        <v>0.3</v>
      </c>
      <c r="J420">
        <v>936.91</v>
      </c>
      <c r="K420" s="6">
        <v>189.71</v>
      </c>
      <c r="L420" s="8">
        <f t="shared" si="20"/>
        <v>0.20248476374464999</v>
      </c>
    </row>
    <row r="421" spans="1:12" x14ac:dyDescent="0.2">
      <c r="A421" t="s">
        <v>690</v>
      </c>
      <c r="B421" s="1" t="d">
        <v>2024-09-02</v>
      </c>
      <c r="C421" s="1" t="str">
        <f t="shared" si="18"/>
        <v>September 2024</v>
      </c>
      <c r="D421" t="s">
        <v>465</v>
      </c>
      <c r="E421" t="s">
        <v>75</v>
      </c>
      <c r="F421" t="s">
        <v>1337</v>
      </c>
      <c r="G421" t="str">
        <f t="shared" si="19"/>
        <v>Non-Campaign</v>
      </c>
      <c r="H421">
        <v>2</v>
      </c>
      <c r="I421" s="4">
        <v>0</v>
      </c>
      <c r="J421">
        <v>351.32</v>
      </c>
      <c r="K421" s="6">
        <v>102.82</v>
      </c>
      <c r="L421" s="8">
        <f t="shared" si="20"/>
        <v>0.29266765342138218</v>
      </c>
    </row>
    <row r="422" spans="1:12" x14ac:dyDescent="0.2">
      <c r="A422" t="s">
        <v>691</v>
      </c>
      <c r="B422" s="1" t="d">
        <v>2025-03-02</v>
      </c>
      <c r="C422" s="1" t="str">
        <f t="shared" si="18"/>
        <v>March 2025</v>
      </c>
      <c r="D422" t="s">
        <v>667</v>
      </c>
      <c r="E422" t="s">
        <v>165</v>
      </c>
      <c r="F422" t="s">
        <v>30</v>
      </c>
      <c r="G422" t="str">
        <f t="shared" si="19"/>
        <v>Campaign</v>
      </c>
      <c r="H422">
        <v>2</v>
      </c>
      <c r="I422" s="4">
        <v>0.15</v>
      </c>
      <c r="J422">
        <v>135.86000000000001</v>
      </c>
      <c r="K422" s="6">
        <v>12.96</v>
      </c>
      <c r="L422" s="8">
        <f t="shared" si="20"/>
        <v>9.5392315619019577E-2</v>
      </c>
    </row>
    <row r="423" spans="1:12" x14ac:dyDescent="0.2">
      <c r="A423" t="s">
        <v>692</v>
      </c>
      <c r="B423" s="1" t="d">
        <v>2025-03-10</v>
      </c>
      <c r="C423" s="1" t="str">
        <f t="shared" si="18"/>
        <v>March 2025</v>
      </c>
      <c r="D423" t="s">
        <v>600</v>
      </c>
      <c r="E423" t="s">
        <v>85</v>
      </c>
      <c r="F423" t="s">
        <v>109</v>
      </c>
      <c r="G423" t="str">
        <f t="shared" si="19"/>
        <v>Campaign</v>
      </c>
      <c r="H423">
        <v>3</v>
      </c>
      <c r="I423" s="4">
        <v>0.1</v>
      </c>
      <c r="J423">
        <v>397.28</v>
      </c>
      <c r="K423" s="6">
        <v>177.17</v>
      </c>
      <c r="L423" s="8">
        <f t="shared" si="20"/>
        <v>0.44595751107531212</v>
      </c>
    </row>
    <row r="424" spans="1:12" x14ac:dyDescent="0.2">
      <c r="A424" t="s">
        <v>693</v>
      </c>
      <c r="B424" s="1" t="d">
        <v>2024-07-17</v>
      </c>
      <c r="C424" s="1" t="str">
        <f t="shared" si="18"/>
        <v>July 2024</v>
      </c>
      <c r="D424" t="s">
        <v>508</v>
      </c>
      <c r="E424" t="s">
        <v>23</v>
      </c>
      <c r="F424" t="s">
        <v>12</v>
      </c>
      <c r="G424" t="str">
        <f t="shared" si="19"/>
        <v>Campaign</v>
      </c>
      <c r="H424">
        <v>4</v>
      </c>
      <c r="I424" s="4">
        <v>0.2</v>
      </c>
      <c r="J424">
        <v>840.22</v>
      </c>
      <c r="K424" s="6">
        <v>408.94</v>
      </c>
      <c r="L424" s="8">
        <f t="shared" si="20"/>
        <v>0.48670586275023209</v>
      </c>
    </row>
    <row r="425" spans="1:12" x14ac:dyDescent="0.2">
      <c r="A425" t="s">
        <v>694</v>
      </c>
      <c r="B425" s="1" t="d">
        <v>2025-05-07</v>
      </c>
      <c r="C425" s="1" t="str">
        <f t="shared" si="18"/>
        <v>May 2025</v>
      </c>
      <c r="D425" t="s">
        <v>628</v>
      </c>
      <c r="E425" t="s">
        <v>130</v>
      </c>
      <c r="F425" t="s">
        <v>1337</v>
      </c>
      <c r="G425" t="str">
        <f t="shared" si="19"/>
        <v>Non-Campaign</v>
      </c>
      <c r="H425">
        <v>2</v>
      </c>
      <c r="I425" s="4">
        <v>0</v>
      </c>
      <c r="J425">
        <v>765.56</v>
      </c>
      <c r="K425" s="6">
        <v>195.64</v>
      </c>
      <c r="L425" s="8">
        <f t="shared" si="20"/>
        <v>0.25555149171848057</v>
      </c>
    </row>
    <row r="426" spans="1:12" x14ac:dyDescent="0.2">
      <c r="A426" t="s">
        <v>695</v>
      </c>
      <c r="B426" s="1" t="d">
        <v>2024-12-29</v>
      </c>
      <c r="C426" s="1" t="str">
        <f t="shared" si="18"/>
        <v>December 2024</v>
      </c>
      <c r="D426" t="s">
        <v>273</v>
      </c>
      <c r="E426" t="s">
        <v>29</v>
      </c>
      <c r="F426" t="s">
        <v>1337</v>
      </c>
      <c r="G426" t="str">
        <f t="shared" si="19"/>
        <v>Non-Campaign</v>
      </c>
      <c r="H426">
        <v>1</v>
      </c>
      <c r="I426" s="4">
        <v>0.1</v>
      </c>
      <c r="J426">
        <v>338.35</v>
      </c>
      <c r="K426" s="6">
        <v>151.15</v>
      </c>
      <c r="L426" s="8">
        <f t="shared" si="20"/>
        <v>0.44672676222846164</v>
      </c>
    </row>
    <row r="427" spans="1:12" x14ac:dyDescent="0.2">
      <c r="A427" t="s">
        <v>696</v>
      </c>
      <c r="B427" s="1" t="d">
        <v>2024-11-01</v>
      </c>
      <c r="C427" s="1" t="str">
        <f t="shared" si="18"/>
        <v>November 2024</v>
      </c>
      <c r="D427" t="s">
        <v>212</v>
      </c>
      <c r="E427" t="s">
        <v>15</v>
      </c>
      <c r="F427" t="s">
        <v>20</v>
      </c>
      <c r="G427" t="str">
        <f t="shared" si="19"/>
        <v>Campaign</v>
      </c>
      <c r="H427">
        <v>1</v>
      </c>
      <c r="I427" s="4">
        <v>0.05</v>
      </c>
      <c r="J427">
        <v>386.45</v>
      </c>
      <c r="K427" s="6">
        <v>110.14</v>
      </c>
      <c r="L427" s="8">
        <f t="shared" si="20"/>
        <v>0.28500452839953422</v>
      </c>
    </row>
    <row r="428" spans="1:12" x14ac:dyDescent="0.2">
      <c r="A428" t="s">
        <v>697</v>
      </c>
      <c r="B428" s="1" t="d">
        <v>2024-11-29</v>
      </c>
      <c r="C428" s="1" t="str">
        <f t="shared" si="18"/>
        <v>November 2024</v>
      </c>
      <c r="D428" t="s">
        <v>687</v>
      </c>
      <c r="E428" t="s">
        <v>41</v>
      </c>
      <c r="F428" t="s">
        <v>109</v>
      </c>
      <c r="G428" t="str">
        <f t="shared" si="19"/>
        <v>Campaign</v>
      </c>
      <c r="H428">
        <v>1</v>
      </c>
      <c r="I428" s="4">
        <v>0.15</v>
      </c>
      <c r="J428">
        <v>352.3</v>
      </c>
      <c r="K428" s="6">
        <v>53.05</v>
      </c>
      <c r="L428" s="8">
        <f t="shared" si="20"/>
        <v>0.15058189043428893</v>
      </c>
    </row>
    <row r="429" spans="1:12" x14ac:dyDescent="0.2">
      <c r="A429" t="s">
        <v>698</v>
      </c>
      <c r="B429" s="1" t="d">
        <v>2024-07-08</v>
      </c>
      <c r="C429" s="1" t="str">
        <f t="shared" si="18"/>
        <v>July 2024</v>
      </c>
      <c r="D429" t="s">
        <v>289</v>
      </c>
      <c r="E429" t="s">
        <v>80</v>
      </c>
      <c r="F429" t="s">
        <v>1337</v>
      </c>
      <c r="G429" t="str">
        <f t="shared" si="19"/>
        <v>Non-Campaign</v>
      </c>
      <c r="H429">
        <v>4</v>
      </c>
      <c r="I429" s="4">
        <v>0.15</v>
      </c>
      <c r="J429">
        <v>499.7</v>
      </c>
      <c r="K429" s="6">
        <v>254.34</v>
      </c>
      <c r="L429" s="8">
        <f t="shared" si="20"/>
        <v>0.50898539123474085</v>
      </c>
    </row>
    <row r="430" spans="1:12" x14ac:dyDescent="0.2">
      <c r="A430" t="s">
        <v>699</v>
      </c>
      <c r="B430" s="1" t="d">
        <v>2024-12-16</v>
      </c>
      <c r="C430" s="1" t="str">
        <f t="shared" si="18"/>
        <v>December 2024</v>
      </c>
      <c r="D430" t="s">
        <v>185</v>
      </c>
      <c r="E430" t="s">
        <v>26</v>
      </c>
      <c r="F430" t="s">
        <v>1337</v>
      </c>
      <c r="G430" t="str">
        <f t="shared" si="19"/>
        <v>Non-Campaign</v>
      </c>
      <c r="H430">
        <v>2</v>
      </c>
      <c r="I430" s="4">
        <v>0.1</v>
      </c>
      <c r="J430">
        <v>400.54</v>
      </c>
      <c r="K430" s="6">
        <v>217.22</v>
      </c>
      <c r="L430" s="8">
        <f t="shared" si="20"/>
        <v>0.5423178708743196</v>
      </c>
    </row>
    <row r="431" spans="1:12" x14ac:dyDescent="0.2">
      <c r="A431" t="s">
        <v>700</v>
      </c>
      <c r="B431" s="1" t="d">
        <v>2024-09-24</v>
      </c>
      <c r="C431" s="1" t="str">
        <f t="shared" si="18"/>
        <v>September 2024</v>
      </c>
      <c r="D431" t="s">
        <v>304</v>
      </c>
      <c r="E431" t="s">
        <v>44</v>
      </c>
      <c r="F431" t="s">
        <v>16</v>
      </c>
      <c r="G431" t="str">
        <f t="shared" si="19"/>
        <v>Campaign</v>
      </c>
      <c r="H431">
        <v>4</v>
      </c>
      <c r="I431" s="4">
        <v>0</v>
      </c>
      <c r="J431">
        <v>642.91999999999996</v>
      </c>
      <c r="K431" s="6">
        <v>224.08</v>
      </c>
      <c r="L431" s="8">
        <f t="shared" si="20"/>
        <v>0.34853480992969582</v>
      </c>
    </row>
    <row r="432" spans="1:12" x14ac:dyDescent="0.2">
      <c r="A432" t="s">
        <v>701</v>
      </c>
      <c r="B432" s="1" t="d">
        <v>2024-12-26</v>
      </c>
      <c r="C432" s="1" t="str">
        <f t="shared" si="18"/>
        <v>December 2024</v>
      </c>
      <c r="D432" t="s">
        <v>108</v>
      </c>
      <c r="E432" t="s">
        <v>11</v>
      </c>
      <c r="F432" t="s">
        <v>1337</v>
      </c>
      <c r="G432" t="str">
        <f t="shared" si="19"/>
        <v>Non-Campaign</v>
      </c>
      <c r="H432">
        <v>3</v>
      </c>
      <c r="I432" s="4">
        <v>0.05</v>
      </c>
      <c r="J432">
        <v>577.01</v>
      </c>
      <c r="K432" s="6">
        <v>223.91</v>
      </c>
      <c r="L432" s="8">
        <f t="shared" si="20"/>
        <v>0.38805220013517966</v>
      </c>
    </row>
    <row r="433" spans="1:12" x14ac:dyDescent="0.2">
      <c r="A433" t="s">
        <v>702</v>
      </c>
      <c r="B433" s="1" t="d">
        <v>2025-02-20</v>
      </c>
      <c r="C433" s="1" t="str">
        <f t="shared" si="18"/>
        <v>February 2025</v>
      </c>
      <c r="D433" t="s">
        <v>404</v>
      </c>
      <c r="E433" t="s">
        <v>148</v>
      </c>
      <c r="F433" t="s">
        <v>12</v>
      </c>
      <c r="G433" t="str">
        <f t="shared" si="19"/>
        <v>Campaign</v>
      </c>
      <c r="H433">
        <v>2</v>
      </c>
      <c r="I433" s="4">
        <v>0.3</v>
      </c>
      <c r="J433">
        <v>692.96</v>
      </c>
      <c r="K433" s="6">
        <v>43.56</v>
      </c>
      <c r="L433" s="8">
        <f t="shared" si="20"/>
        <v>6.2860771184483952E-2</v>
      </c>
    </row>
    <row r="434" spans="1:12" x14ac:dyDescent="0.2">
      <c r="A434" t="s">
        <v>703</v>
      </c>
      <c r="B434" s="1" t="d">
        <v>2024-07-21</v>
      </c>
      <c r="C434" s="1" t="str">
        <f t="shared" si="18"/>
        <v>July 2024</v>
      </c>
      <c r="D434" t="s">
        <v>373</v>
      </c>
      <c r="E434" t="s">
        <v>26</v>
      </c>
      <c r="F434" t="s">
        <v>1337</v>
      </c>
      <c r="G434" t="str">
        <f t="shared" si="19"/>
        <v>Non-Campaign</v>
      </c>
      <c r="H434">
        <v>5</v>
      </c>
      <c r="I434" s="4">
        <v>0.15</v>
      </c>
      <c r="J434">
        <v>945.71</v>
      </c>
      <c r="K434" s="6">
        <v>487.41</v>
      </c>
      <c r="L434" s="8">
        <f t="shared" si="20"/>
        <v>0.51539055312939486</v>
      </c>
    </row>
    <row r="435" spans="1:12" x14ac:dyDescent="0.2">
      <c r="A435" t="s">
        <v>704</v>
      </c>
      <c r="B435" s="1" t="d">
        <v>2025-06-18</v>
      </c>
      <c r="C435" s="1" t="str">
        <f t="shared" si="18"/>
        <v>June 2025</v>
      </c>
      <c r="D435" t="s">
        <v>705</v>
      </c>
      <c r="E435" t="s">
        <v>50</v>
      </c>
      <c r="F435" t="s">
        <v>12</v>
      </c>
      <c r="G435" t="str">
        <f t="shared" si="19"/>
        <v>Campaign</v>
      </c>
      <c r="H435">
        <v>4</v>
      </c>
      <c r="I435" s="4">
        <v>0.2</v>
      </c>
      <c r="J435">
        <v>1183.94</v>
      </c>
      <c r="K435" s="6">
        <v>495.26</v>
      </c>
      <c r="L435" s="8">
        <f t="shared" si="20"/>
        <v>0.41831511732013443</v>
      </c>
    </row>
    <row r="436" spans="1:12" x14ac:dyDescent="0.2">
      <c r="A436" t="s">
        <v>706</v>
      </c>
      <c r="B436" s="1" t="d">
        <v>2025-04-18</v>
      </c>
      <c r="C436" s="1" t="str">
        <f t="shared" si="18"/>
        <v>April 2025</v>
      </c>
      <c r="D436" t="s">
        <v>592</v>
      </c>
      <c r="E436" t="s">
        <v>50</v>
      </c>
      <c r="F436" t="s">
        <v>1337</v>
      </c>
      <c r="G436" t="str">
        <f t="shared" si="19"/>
        <v>Non-Campaign</v>
      </c>
      <c r="H436">
        <v>5</v>
      </c>
      <c r="I436" s="4">
        <v>0.05</v>
      </c>
      <c r="J436">
        <v>1757.4</v>
      </c>
      <c r="K436" s="6">
        <v>896.55</v>
      </c>
      <c r="L436" s="8">
        <f t="shared" si="20"/>
        <v>0.51015705018777735</v>
      </c>
    </row>
    <row r="437" spans="1:12" x14ac:dyDescent="0.2">
      <c r="A437" t="s">
        <v>707</v>
      </c>
      <c r="B437" s="1" t="d">
        <v>2025-04-15</v>
      </c>
      <c r="C437" s="1" t="str">
        <f t="shared" si="18"/>
        <v>April 2025</v>
      </c>
      <c r="D437" t="s">
        <v>708</v>
      </c>
      <c r="E437" t="s">
        <v>80</v>
      </c>
      <c r="F437" t="s">
        <v>20</v>
      </c>
      <c r="G437" t="str">
        <f t="shared" si="19"/>
        <v>Campaign</v>
      </c>
      <c r="H437">
        <v>4</v>
      </c>
      <c r="I437" s="4">
        <v>0.3</v>
      </c>
      <c r="J437">
        <v>411.52</v>
      </c>
      <c r="K437" s="6">
        <v>166.16</v>
      </c>
      <c r="L437" s="8">
        <f t="shared" si="20"/>
        <v>0.40377138413685848</v>
      </c>
    </row>
    <row r="438" spans="1:12" x14ac:dyDescent="0.2">
      <c r="A438" t="s">
        <v>709</v>
      </c>
      <c r="B438" s="1" t="d">
        <v>2024-12-28</v>
      </c>
      <c r="C438" s="1" t="str">
        <f t="shared" si="18"/>
        <v>December 2024</v>
      </c>
      <c r="D438" t="s">
        <v>317</v>
      </c>
      <c r="E438" t="s">
        <v>38</v>
      </c>
      <c r="F438" t="s">
        <v>16</v>
      </c>
      <c r="G438" t="str">
        <f t="shared" si="19"/>
        <v>Campaign</v>
      </c>
      <c r="H438">
        <v>1</v>
      </c>
      <c r="I438" s="4">
        <v>0.15</v>
      </c>
      <c r="J438">
        <v>399.15</v>
      </c>
      <c r="K438" s="6">
        <v>89.59</v>
      </c>
      <c r="L438" s="8">
        <f t="shared" si="20"/>
        <v>0.22445196041588378</v>
      </c>
    </row>
    <row r="439" spans="1:12" x14ac:dyDescent="0.2">
      <c r="A439" t="s">
        <v>710</v>
      </c>
      <c r="B439" s="1" t="d">
        <v>2024-10-23</v>
      </c>
      <c r="C439" s="1" t="str">
        <f t="shared" si="18"/>
        <v>October 2024</v>
      </c>
      <c r="D439" t="s">
        <v>561</v>
      </c>
      <c r="E439" t="s">
        <v>35</v>
      </c>
      <c r="F439" t="s">
        <v>30</v>
      </c>
      <c r="G439" t="str">
        <f t="shared" si="19"/>
        <v>Campaign</v>
      </c>
      <c r="H439">
        <v>2</v>
      </c>
      <c r="I439" s="4">
        <v>0.05</v>
      </c>
      <c r="J439">
        <v>575.41999999999996</v>
      </c>
      <c r="K439" s="6">
        <v>137.04</v>
      </c>
      <c r="L439" s="8">
        <f t="shared" si="20"/>
        <v>0.23815647700809844</v>
      </c>
    </row>
    <row r="440" spans="1:12" x14ac:dyDescent="0.2">
      <c r="A440" t="s">
        <v>711</v>
      </c>
      <c r="B440" s="1" t="d">
        <v>2024-11-16</v>
      </c>
      <c r="C440" s="1" t="str">
        <f t="shared" si="18"/>
        <v>November 2024</v>
      </c>
      <c r="D440" t="s">
        <v>84</v>
      </c>
      <c r="E440" t="s">
        <v>19</v>
      </c>
      <c r="F440" t="s">
        <v>20</v>
      </c>
      <c r="G440" t="str">
        <f t="shared" si="19"/>
        <v>Campaign</v>
      </c>
      <c r="H440">
        <v>4</v>
      </c>
      <c r="I440" s="4">
        <v>0.05</v>
      </c>
      <c r="J440">
        <v>603.86</v>
      </c>
      <c r="K440" s="6">
        <v>329.3</v>
      </c>
      <c r="L440" s="8">
        <f t="shared" si="20"/>
        <v>0.54532507534859076</v>
      </c>
    </row>
    <row r="441" spans="1:12" x14ac:dyDescent="0.2">
      <c r="A441" t="s">
        <v>712</v>
      </c>
      <c r="B441" s="1" t="d">
        <v>2025-04-17</v>
      </c>
      <c r="C441" s="1" t="str">
        <f t="shared" si="18"/>
        <v>April 2025</v>
      </c>
      <c r="D441" t="s">
        <v>622</v>
      </c>
      <c r="E441" t="s">
        <v>130</v>
      </c>
      <c r="F441" t="s">
        <v>109</v>
      </c>
      <c r="G441" t="str">
        <f t="shared" si="19"/>
        <v>Campaign</v>
      </c>
      <c r="H441">
        <v>3</v>
      </c>
      <c r="I441" s="4">
        <v>0.3</v>
      </c>
      <c r="J441">
        <v>803.84</v>
      </c>
      <c r="K441" s="6">
        <v>-51.04</v>
      </c>
      <c r="L441" s="8">
        <f t="shared" si="20"/>
        <v>-6.3495222929936299E-2</v>
      </c>
    </row>
    <row r="442" spans="1:12" x14ac:dyDescent="0.2">
      <c r="A442" t="s">
        <v>713</v>
      </c>
      <c r="B442" s="1" t="d">
        <v>2025-02-16</v>
      </c>
      <c r="C442" s="1" t="str">
        <f t="shared" si="18"/>
        <v>February 2025</v>
      </c>
      <c r="D442" t="s">
        <v>37</v>
      </c>
      <c r="E442" t="s">
        <v>26</v>
      </c>
      <c r="F442" t="s">
        <v>1337</v>
      </c>
      <c r="G442" t="str">
        <f t="shared" si="19"/>
        <v>Non-Campaign</v>
      </c>
      <c r="H442">
        <v>5</v>
      </c>
      <c r="I442" s="4">
        <v>0.15</v>
      </c>
      <c r="J442">
        <v>945.71</v>
      </c>
      <c r="K442" s="6">
        <v>487.41</v>
      </c>
      <c r="L442" s="8">
        <f t="shared" si="20"/>
        <v>0.51539055312939486</v>
      </c>
    </row>
    <row r="443" spans="1:12" x14ac:dyDescent="0.2">
      <c r="A443" t="s">
        <v>714</v>
      </c>
      <c r="B443" s="1" t="d">
        <v>2024-08-08</v>
      </c>
      <c r="C443" s="1" t="str">
        <f t="shared" si="18"/>
        <v>August 2024</v>
      </c>
      <c r="D443" t="s">
        <v>467</v>
      </c>
      <c r="E443" t="s">
        <v>165</v>
      </c>
      <c r="F443" t="s">
        <v>109</v>
      </c>
      <c r="G443" t="str">
        <f t="shared" si="19"/>
        <v>Campaign</v>
      </c>
      <c r="H443">
        <v>5</v>
      </c>
      <c r="I443" s="4">
        <v>0.15</v>
      </c>
      <c r="J443">
        <v>339.66</v>
      </c>
      <c r="K443" s="6">
        <v>32.409999999999997</v>
      </c>
      <c r="L443" s="8">
        <f t="shared" si="20"/>
        <v>9.5418948360124808E-2</v>
      </c>
    </row>
    <row r="444" spans="1:12" x14ac:dyDescent="0.2">
      <c r="A444" t="s">
        <v>715</v>
      </c>
      <c r="B444" s="1" t="d">
        <v>2025-03-25</v>
      </c>
      <c r="C444" s="1" t="str">
        <f t="shared" si="18"/>
        <v>March 2025</v>
      </c>
      <c r="D444" t="s">
        <v>716</v>
      </c>
      <c r="E444" t="s">
        <v>119</v>
      </c>
      <c r="F444" t="s">
        <v>1337</v>
      </c>
      <c r="G444" t="str">
        <f t="shared" si="19"/>
        <v>Non-Campaign</v>
      </c>
      <c r="H444">
        <v>1</v>
      </c>
      <c r="I444" s="4">
        <v>0.15</v>
      </c>
      <c r="J444">
        <v>106.48</v>
      </c>
      <c r="K444" s="6">
        <v>6.39</v>
      </c>
      <c r="L444" s="8">
        <f t="shared" si="20"/>
        <v>6.0011269722013517E-2</v>
      </c>
    </row>
    <row r="445" spans="1:12" x14ac:dyDescent="0.2">
      <c r="A445" t="s">
        <v>717</v>
      </c>
      <c r="B445" s="1" t="d">
        <v>2025-01-08</v>
      </c>
      <c r="C445" s="1" t="str">
        <f t="shared" si="18"/>
        <v>January 2025</v>
      </c>
      <c r="D445" t="s">
        <v>287</v>
      </c>
      <c r="E445" t="s">
        <v>193</v>
      </c>
      <c r="F445" t="s">
        <v>20</v>
      </c>
      <c r="G445" t="str">
        <f t="shared" si="19"/>
        <v>Campaign</v>
      </c>
      <c r="H445">
        <v>1</v>
      </c>
      <c r="I445" s="4">
        <v>0.2</v>
      </c>
      <c r="J445">
        <v>265.55</v>
      </c>
      <c r="K445" s="6">
        <v>60.42</v>
      </c>
      <c r="L445" s="8">
        <f t="shared" si="20"/>
        <v>0.22752777254754283</v>
      </c>
    </row>
    <row r="446" spans="1:12" x14ac:dyDescent="0.2">
      <c r="A446" t="s">
        <v>718</v>
      </c>
      <c r="B446" s="1" t="d">
        <v>2025-04-13</v>
      </c>
      <c r="C446" s="1" t="str">
        <f t="shared" si="18"/>
        <v>April 2025</v>
      </c>
      <c r="D446" t="s">
        <v>667</v>
      </c>
      <c r="E446" t="s">
        <v>119</v>
      </c>
      <c r="F446" t="s">
        <v>109</v>
      </c>
      <c r="G446" t="str">
        <f t="shared" si="19"/>
        <v>Campaign</v>
      </c>
      <c r="H446">
        <v>5</v>
      </c>
      <c r="I446" s="4">
        <v>0.1</v>
      </c>
      <c r="J446">
        <v>563.72</v>
      </c>
      <c r="K446" s="6">
        <v>63.27</v>
      </c>
      <c r="L446" s="8">
        <f t="shared" si="20"/>
        <v>0.11223657134747747</v>
      </c>
    </row>
    <row r="447" spans="1:12" x14ac:dyDescent="0.2">
      <c r="A447" t="s">
        <v>719</v>
      </c>
      <c r="B447" s="1" t="d">
        <v>2024-07-29</v>
      </c>
      <c r="C447" s="1" t="str">
        <f t="shared" si="18"/>
        <v>July 2024</v>
      </c>
      <c r="D447" t="s">
        <v>720</v>
      </c>
      <c r="E447" t="s">
        <v>72</v>
      </c>
      <c r="F447" t="s">
        <v>1337</v>
      </c>
      <c r="G447" t="str">
        <f t="shared" si="19"/>
        <v>Non-Campaign</v>
      </c>
      <c r="H447">
        <v>4</v>
      </c>
      <c r="I447" s="4">
        <v>0.2</v>
      </c>
      <c r="J447">
        <v>206.46</v>
      </c>
      <c r="K447" s="6">
        <v>93.26</v>
      </c>
      <c r="L447" s="8">
        <f t="shared" si="20"/>
        <v>0.45170977429041947</v>
      </c>
    </row>
    <row r="448" spans="1:12" x14ac:dyDescent="0.2">
      <c r="A448" t="s">
        <v>721</v>
      </c>
      <c r="B448" s="1" t="d">
        <v>2024-10-04</v>
      </c>
      <c r="C448" s="1" t="str">
        <f t="shared" si="18"/>
        <v>October 2024</v>
      </c>
      <c r="D448" t="s">
        <v>722</v>
      </c>
      <c r="E448" t="s">
        <v>58</v>
      </c>
      <c r="F448" t="s">
        <v>16</v>
      </c>
      <c r="G448" t="str">
        <f t="shared" si="19"/>
        <v>Campaign</v>
      </c>
      <c r="H448">
        <v>3</v>
      </c>
      <c r="I448" s="4">
        <v>0.15</v>
      </c>
      <c r="J448">
        <v>176.46</v>
      </c>
      <c r="K448" s="6">
        <v>31.92</v>
      </c>
      <c r="L448" s="8">
        <f t="shared" si="20"/>
        <v>0.18089085345120706</v>
      </c>
    </row>
    <row r="449" spans="1:12" x14ac:dyDescent="0.2">
      <c r="A449" t="s">
        <v>723</v>
      </c>
      <c r="B449" s="1" t="d">
        <v>2025-05-14</v>
      </c>
      <c r="C449" s="1" t="str">
        <f t="shared" si="18"/>
        <v>May 2025</v>
      </c>
      <c r="D449" t="s">
        <v>332</v>
      </c>
      <c r="E449" t="s">
        <v>75</v>
      </c>
      <c r="F449" t="s">
        <v>1337</v>
      </c>
      <c r="G449" t="str">
        <f t="shared" si="19"/>
        <v>Non-Campaign</v>
      </c>
      <c r="H449">
        <v>1</v>
      </c>
      <c r="I449" s="4">
        <v>0.15</v>
      </c>
      <c r="J449">
        <v>149.31</v>
      </c>
      <c r="K449" s="6">
        <v>25.06</v>
      </c>
      <c r="L449" s="8">
        <f t="shared" si="20"/>
        <v>0.1678387248007501</v>
      </c>
    </row>
    <row r="450" spans="1:12" x14ac:dyDescent="0.2">
      <c r="A450" t="s">
        <v>724</v>
      </c>
      <c r="B450" s="1" t="d">
        <v>2025-05-13</v>
      </c>
      <c r="C450" s="1" t="str">
        <f t="shared" ref="C450:C513" si="21">TEXT(B450, "mmmm yyyy")</f>
        <v>May 2025</v>
      </c>
      <c r="D450" t="s">
        <v>634</v>
      </c>
      <c r="E450" t="s">
        <v>53</v>
      </c>
      <c r="F450" t="s">
        <v>30</v>
      </c>
      <c r="G450" t="str">
        <f t="shared" ref="G450:G513" si="22">IF(F450="No Campaign", "Non-Campaign", "Campaign")</f>
        <v>Campaign</v>
      </c>
      <c r="H450">
        <v>1</v>
      </c>
      <c r="I450" s="4">
        <v>0.3</v>
      </c>
      <c r="J450">
        <v>234.23</v>
      </c>
      <c r="K450" s="6">
        <v>47.43</v>
      </c>
      <c r="L450" s="8">
        <f t="shared" ref="L450:L513" si="23">IF(J450=0, 0,K450/J450)</f>
        <v>0.20249327583998636</v>
      </c>
    </row>
    <row r="451" spans="1:12" x14ac:dyDescent="0.2">
      <c r="A451" t="s">
        <v>725</v>
      </c>
      <c r="B451" s="1" t="d">
        <v>2024-11-29</v>
      </c>
      <c r="C451" s="1" t="str">
        <f t="shared" si="21"/>
        <v>November 2024</v>
      </c>
      <c r="D451" t="s">
        <v>708</v>
      </c>
      <c r="E451" t="s">
        <v>138</v>
      </c>
      <c r="F451" t="s">
        <v>109</v>
      </c>
      <c r="G451" t="str">
        <f t="shared" si="22"/>
        <v>Campaign</v>
      </c>
      <c r="H451">
        <v>3</v>
      </c>
      <c r="I451" s="4">
        <v>0</v>
      </c>
      <c r="J451">
        <v>1299.51</v>
      </c>
      <c r="K451" s="6">
        <v>773.73</v>
      </c>
      <c r="L451" s="8">
        <f t="shared" si="23"/>
        <v>0.59540134358335062</v>
      </c>
    </row>
    <row r="452" spans="1:12" x14ac:dyDescent="0.2">
      <c r="A452" t="s">
        <v>726</v>
      </c>
      <c r="B452" s="1" t="d">
        <v>2024-10-29</v>
      </c>
      <c r="C452" s="1" t="str">
        <f t="shared" si="21"/>
        <v>October 2024</v>
      </c>
      <c r="D452" t="s">
        <v>150</v>
      </c>
      <c r="E452" t="s">
        <v>130</v>
      </c>
      <c r="F452" t="s">
        <v>109</v>
      </c>
      <c r="G452" t="str">
        <f t="shared" si="22"/>
        <v>Campaign</v>
      </c>
      <c r="H452">
        <v>3</v>
      </c>
      <c r="I452" s="4">
        <v>0.1</v>
      </c>
      <c r="J452">
        <v>1033.51</v>
      </c>
      <c r="K452" s="6">
        <v>178.63</v>
      </c>
      <c r="L452" s="8">
        <f t="shared" si="23"/>
        <v>0.17283819218004665</v>
      </c>
    </row>
    <row r="453" spans="1:12" x14ac:dyDescent="0.2">
      <c r="A453" t="s">
        <v>727</v>
      </c>
      <c r="B453" s="1" t="d">
        <v>2025-04-11</v>
      </c>
      <c r="C453" s="1" t="str">
        <f t="shared" si="21"/>
        <v>April 2025</v>
      </c>
      <c r="D453" t="s">
        <v>360</v>
      </c>
      <c r="E453" t="s">
        <v>65</v>
      </c>
      <c r="F453" t="s">
        <v>20</v>
      </c>
      <c r="G453" t="str">
        <f t="shared" si="22"/>
        <v>Campaign</v>
      </c>
      <c r="H453">
        <v>2</v>
      </c>
      <c r="I453" s="4">
        <v>0.05</v>
      </c>
      <c r="J453">
        <v>183.9</v>
      </c>
      <c r="K453" s="6">
        <v>53.78</v>
      </c>
      <c r="L453" s="8">
        <f t="shared" si="23"/>
        <v>0.29244154431756392</v>
      </c>
    </row>
    <row r="454" spans="1:12" x14ac:dyDescent="0.2">
      <c r="A454" t="s">
        <v>728</v>
      </c>
      <c r="B454" s="1" t="d">
        <v>2024-07-22</v>
      </c>
      <c r="C454" s="1" t="str">
        <f t="shared" si="21"/>
        <v>July 2024</v>
      </c>
      <c r="D454" t="s">
        <v>204</v>
      </c>
      <c r="E454" t="s">
        <v>85</v>
      </c>
      <c r="F454" t="s">
        <v>1337</v>
      </c>
      <c r="G454" t="str">
        <f t="shared" si="22"/>
        <v>Non-Campaign</v>
      </c>
      <c r="H454">
        <v>3</v>
      </c>
      <c r="I454" s="4">
        <v>0.1</v>
      </c>
      <c r="J454">
        <v>397.28</v>
      </c>
      <c r="K454" s="6">
        <v>177.17</v>
      </c>
      <c r="L454" s="8">
        <f t="shared" si="23"/>
        <v>0.44595751107531212</v>
      </c>
    </row>
    <row r="455" spans="1:12" x14ac:dyDescent="0.2">
      <c r="A455" t="s">
        <v>729</v>
      </c>
      <c r="B455" s="1" t="d">
        <v>2024-12-11</v>
      </c>
      <c r="C455" s="1" t="str">
        <f t="shared" si="21"/>
        <v>December 2024</v>
      </c>
      <c r="D455" t="s">
        <v>34</v>
      </c>
      <c r="E455" t="s">
        <v>75</v>
      </c>
      <c r="F455" t="s">
        <v>20</v>
      </c>
      <c r="G455" t="str">
        <f t="shared" si="22"/>
        <v>Campaign</v>
      </c>
      <c r="H455">
        <v>2</v>
      </c>
      <c r="I455" s="4">
        <v>0.15</v>
      </c>
      <c r="J455">
        <v>298.62</v>
      </c>
      <c r="K455" s="6">
        <v>50.12</v>
      </c>
      <c r="L455" s="8">
        <f t="shared" si="23"/>
        <v>0.1678387248007501</v>
      </c>
    </row>
    <row r="456" spans="1:12" x14ac:dyDescent="0.2">
      <c r="A456" t="s">
        <v>730</v>
      </c>
      <c r="B456" s="1" t="d">
        <v>2025-02-23</v>
      </c>
      <c r="C456" s="1" t="str">
        <f t="shared" si="21"/>
        <v>February 2025</v>
      </c>
      <c r="D456" t="s">
        <v>731</v>
      </c>
      <c r="E456" t="s">
        <v>138</v>
      </c>
      <c r="F456" t="s">
        <v>1337</v>
      </c>
      <c r="G456" t="str">
        <f t="shared" si="22"/>
        <v>Non-Campaign</v>
      </c>
      <c r="H456">
        <v>4</v>
      </c>
      <c r="I456" s="4">
        <v>0.2</v>
      </c>
      <c r="J456">
        <v>1386.14</v>
      </c>
      <c r="K456" s="6">
        <v>685.1</v>
      </c>
      <c r="L456" s="8">
        <f t="shared" si="23"/>
        <v>0.49425022003549424</v>
      </c>
    </row>
    <row r="457" spans="1:12" x14ac:dyDescent="0.2">
      <c r="A457" t="s">
        <v>732</v>
      </c>
      <c r="B457" s="1" t="d">
        <v>2024-08-27</v>
      </c>
      <c r="C457" s="1" t="str">
        <f t="shared" si="21"/>
        <v>August 2024</v>
      </c>
      <c r="D457" t="s">
        <v>733</v>
      </c>
      <c r="E457" t="s">
        <v>130</v>
      </c>
      <c r="F457" t="s">
        <v>12</v>
      </c>
      <c r="G457" t="str">
        <f t="shared" si="22"/>
        <v>Campaign</v>
      </c>
      <c r="H457">
        <v>5</v>
      </c>
      <c r="I457" s="4">
        <v>0.05</v>
      </c>
      <c r="J457">
        <v>1818.2</v>
      </c>
      <c r="K457" s="6">
        <v>393.4</v>
      </c>
      <c r="L457" s="8">
        <f t="shared" si="23"/>
        <v>0.21636783632163675</v>
      </c>
    </row>
    <row r="458" spans="1:12" x14ac:dyDescent="0.2">
      <c r="A458" t="s">
        <v>734</v>
      </c>
      <c r="B458" s="1" t="d">
        <v>2025-01-25</v>
      </c>
      <c r="C458" s="1" t="str">
        <f t="shared" si="21"/>
        <v>January 2025</v>
      </c>
      <c r="D458" t="s">
        <v>116</v>
      </c>
      <c r="E458" t="s">
        <v>80</v>
      </c>
      <c r="F458" t="s">
        <v>1337</v>
      </c>
      <c r="G458" t="str">
        <f t="shared" si="22"/>
        <v>Non-Campaign</v>
      </c>
      <c r="H458">
        <v>2</v>
      </c>
      <c r="I458" s="4">
        <v>0.2</v>
      </c>
      <c r="J458">
        <v>235.15</v>
      </c>
      <c r="K458" s="6">
        <v>112.47</v>
      </c>
      <c r="L458" s="8">
        <f t="shared" si="23"/>
        <v>0.47829045290240269</v>
      </c>
    </row>
    <row r="459" spans="1:12" x14ac:dyDescent="0.2">
      <c r="A459" t="s">
        <v>735</v>
      </c>
      <c r="B459" s="1" t="d">
        <v>2024-08-05</v>
      </c>
      <c r="C459" s="1" t="str">
        <f t="shared" si="21"/>
        <v>August 2024</v>
      </c>
      <c r="D459" t="s">
        <v>736</v>
      </c>
      <c r="E459" t="s">
        <v>29</v>
      </c>
      <c r="F459" t="s">
        <v>16</v>
      </c>
      <c r="G459" t="str">
        <f t="shared" si="22"/>
        <v>Campaign</v>
      </c>
      <c r="H459">
        <v>2</v>
      </c>
      <c r="I459" s="4">
        <v>0.05</v>
      </c>
      <c r="J459">
        <v>714.29</v>
      </c>
      <c r="K459" s="6">
        <v>339.89</v>
      </c>
      <c r="L459" s="8">
        <f t="shared" si="23"/>
        <v>0.47584314494113034</v>
      </c>
    </row>
    <row r="460" spans="1:12" x14ac:dyDescent="0.2">
      <c r="A460" t="s">
        <v>737</v>
      </c>
      <c r="B460" s="1" t="d">
        <v>2024-11-21</v>
      </c>
      <c r="C460" s="1" t="str">
        <f t="shared" si="21"/>
        <v>November 2024</v>
      </c>
      <c r="D460" t="s">
        <v>294</v>
      </c>
      <c r="E460" t="s">
        <v>103</v>
      </c>
      <c r="F460" t="s">
        <v>12</v>
      </c>
      <c r="G460" t="str">
        <f t="shared" si="22"/>
        <v>Campaign</v>
      </c>
      <c r="H460">
        <v>4</v>
      </c>
      <c r="I460" s="4">
        <v>0</v>
      </c>
      <c r="J460">
        <v>378.52</v>
      </c>
      <c r="K460" s="6">
        <v>82.2</v>
      </c>
      <c r="L460" s="8">
        <f t="shared" si="23"/>
        <v>0.21716157666701894</v>
      </c>
    </row>
    <row r="461" spans="1:12" x14ac:dyDescent="0.2">
      <c r="A461" t="s">
        <v>738</v>
      </c>
      <c r="B461" s="1" t="d">
        <v>2025-05-30</v>
      </c>
      <c r="C461" s="1" t="str">
        <f t="shared" si="21"/>
        <v>May 2025</v>
      </c>
      <c r="D461" t="s">
        <v>273</v>
      </c>
      <c r="E461" t="s">
        <v>53</v>
      </c>
      <c r="F461" t="s">
        <v>30</v>
      </c>
      <c r="G461" t="str">
        <f t="shared" si="22"/>
        <v>Campaign</v>
      </c>
      <c r="H461">
        <v>3</v>
      </c>
      <c r="I461" s="4">
        <v>0.1</v>
      </c>
      <c r="J461">
        <v>903.45</v>
      </c>
      <c r="K461" s="6">
        <v>343.05</v>
      </c>
      <c r="L461" s="8">
        <f t="shared" si="23"/>
        <v>0.37971110742155073</v>
      </c>
    </row>
    <row r="462" spans="1:12" x14ac:dyDescent="0.2">
      <c r="A462" t="s">
        <v>739</v>
      </c>
      <c r="B462" s="1" t="d">
        <v>2025-01-30</v>
      </c>
      <c r="C462" s="1" t="str">
        <f t="shared" si="21"/>
        <v>January 2025</v>
      </c>
      <c r="D462" t="s">
        <v>52</v>
      </c>
      <c r="E462" t="s">
        <v>38</v>
      </c>
      <c r="F462" t="s">
        <v>1337</v>
      </c>
      <c r="G462" t="str">
        <f t="shared" si="22"/>
        <v>Non-Campaign</v>
      </c>
      <c r="H462">
        <v>1</v>
      </c>
      <c r="I462" s="4">
        <v>0.3</v>
      </c>
      <c r="J462">
        <v>328.71</v>
      </c>
      <c r="K462" s="6">
        <v>19.149999999999999</v>
      </c>
      <c r="L462" s="8">
        <f t="shared" si="23"/>
        <v>5.8258039000943077E-2</v>
      </c>
    </row>
    <row r="463" spans="1:12" x14ac:dyDescent="0.2">
      <c r="A463" t="s">
        <v>740</v>
      </c>
      <c r="B463" s="1" t="d">
        <v>2024-08-20</v>
      </c>
      <c r="C463" s="1" t="str">
        <f t="shared" si="21"/>
        <v>August 2024</v>
      </c>
      <c r="D463" t="s">
        <v>626</v>
      </c>
      <c r="E463" t="s">
        <v>103</v>
      </c>
      <c r="F463" t="s">
        <v>1337</v>
      </c>
      <c r="G463" t="str">
        <f t="shared" si="22"/>
        <v>Non-Campaign</v>
      </c>
      <c r="H463">
        <v>4</v>
      </c>
      <c r="I463" s="4">
        <v>0.2</v>
      </c>
      <c r="J463">
        <v>302.82</v>
      </c>
      <c r="K463" s="6">
        <v>6.5</v>
      </c>
      <c r="L463" s="8">
        <f t="shared" si="23"/>
        <v>2.1464896638266957E-2</v>
      </c>
    </row>
    <row r="464" spans="1:12" x14ac:dyDescent="0.2">
      <c r="A464" t="s">
        <v>741</v>
      </c>
      <c r="B464" s="1" t="d">
        <v>2024-08-17</v>
      </c>
      <c r="C464" s="1" t="str">
        <f t="shared" si="21"/>
        <v>August 2024</v>
      </c>
      <c r="D464" t="s">
        <v>639</v>
      </c>
      <c r="E464" t="s">
        <v>35</v>
      </c>
      <c r="F464" t="s">
        <v>1337</v>
      </c>
      <c r="G464" t="str">
        <f t="shared" si="22"/>
        <v>Non-Campaign</v>
      </c>
      <c r="H464">
        <v>5</v>
      </c>
      <c r="I464" s="4">
        <v>0.2</v>
      </c>
      <c r="J464">
        <v>1211.4000000000001</v>
      </c>
      <c r="K464" s="6">
        <v>115.45</v>
      </c>
      <c r="L464" s="8">
        <f t="shared" si="23"/>
        <v>9.530295525837873E-2</v>
      </c>
    </row>
    <row r="465" spans="1:12" x14ac:dyDescent="0.2">
      <c r="A465" t="s">
        <v>742</v>
      </c>
      <c r="B465" s="1" t="d">
        <v>2025-06-17</v>
      </c>
      <c r="C465" s="1" t="str">
        <f t="shared" si="21"/>
        <v>June 2025</v>
      </c>
      <c r="D465" t="s">
        <v>682</v>
      </c>
      <c r="E465" t="s">
        <v>44</v>
      </c>
      <c r="F465" t="s">
        <v>16</v>
      </c>
      <c r="G465" t="str">
        <f t="shared" si="22"/>
        <v>Campaign</v>
      </c>
      <c r="H465">
        <v>3</v>
      </c>
      <c r="I465" s="4">
        <v>0.3</v>
      </c>
      <c r="J465">
        <v>337.53</v>
      </c>
      <c r="K465" s="6">
        <v>23.4</v>
      </c>
      <c r="L465" s="8">
        <f t="shared" si="23"/>
        <v>6.9327170918140613E-2</v>
      </c>
    </row>
    <row r="466" spans="1:12" x14ac:dyDescent="0.2">
      <c r="A466" t="s">
        <v>743</v>
      </c>
      <c r="B466" s="1" t="d">
        <v>2025-01-08</v>
      </c>
      <c r="C466" s="1" t="str">
        <f t="shared" si="21"/>
        <v>January 2025</v>
      </c>
      <c r="D466" t="s">
        <v>176</v>
      </c>
      <c r="E466" t="s">
        <v>80</v>
      </c>
      <c r="F466" t="s">
        <v>12</v>
      </c>
      <c r="G466" t="str">
        <f t="shared" si="22"/>
        <v>Campaign</v>
      </c>
      <c r="H466">
        <v>4</v>
      </c>
      <c r="I466" s="4">
        <v>0</v>
      </c>
      <c r="J466">
        <v>587.88</v>
      </c>
      <c r="K466" s="6">
        <v>342.52</v>
      </c>
      <c r="L466" s="8">
        <f t="shared" si="23"/>
        <v>0.58263591209090293</v>
      </c>
    </row>
    <row r="467" spans="1:12" x14ac:dyDescent="0.2">
      <c r="A467" t="s">
        <v>744</v>
      </c>
      <c r="B467" s="1" t="d">
        <v>2024-08-31</v>
      </c>
      <c r="C467" s="1" t="str">
        <f t="shared" si="21"/>
        <v>August 2024</v>
      </c>
      <c r="D467" t="s">
        <v>260</v>
      </c>
      <c r="E467" t="s">
        <v>65</v>
      </c>
      <c r="F467" t="s">
        <v>30</v>
      </c>
      <c r="G467" t="str">
        <f t="shared" si="22"/>
        <v>Campaign</v>
      </c>
      <c r="H467">
        <v>2</v>
      </c>
      <c r="I467" s="4">
        <v>0.3</v>
      </c>
      <c r="J467">
        <v>135.51</v>
      </c>
      <c r="K467" s="6">
        <v>5.39</v>
      </c>
      <c r="L467" s="8">
        <f t="shared" si="23"/>
        <v>3.9775662312744445E-2</v>
      </c>
    </row>
    <row r="468" spans="1:12" x14ac:dyDescent="0.2">
      <c r="A468" t="s">
        <v>745</v>
      </c>
      <c r="B468" s="1" t="d">
        <v>2025-03-28</v>
      </c>
      <c r="C468" s="1" t="str">
        <f t="shared" si="21"/>
        <v>March 2025</v>
      </c>
      <c r="D468" t="s">
        <v>141</v>
      </c>
      <c r="E468" t="s">
        <v>96</v>
      </c>
      <c r="F468" t="s">
        <v>30</v>
      </c>
      <c r="G468" t="str">
        <f t="shared" si="22"/>
        <v>Campaign</v>
      </c>
      <c r="H468">
        <v>3</v>
      </c>
      <c r="I468" s="4">
        <v>0.3</v>
      </c>
      <c r="J468">
        <v>108.72</v>
      </c>
      <c r="K468" s="6">
        <v>-10.14</v>
      </c>
      <c r="L468" s="8">
        <f t="shared" si="23"/>
        <v>-9.3267108167770424E-2</v>
      </c>
    </row>
    <row r="469" spans="1:12" x14ac:dyDescent="0.2">
      <c r="A469" t="s">
        <v>746</v>
      </c>
      <c r="B469" s="1" t="d">
        <v>2025-05-17</v>
      </c>
      <c r="C469" s="1" t="str">
        <f t="shared" si="21"/>
        <v>May 2025</v>
      </c>
      <c r="D469" t="s">
        <v>129</v>
      </c>
      <c r="E469" t="s">
        <v>38</v>
      </c>
      <c r="F469" t="s">
        <v>12</v>
      </c>
      <c r="G469" t="str">
        <f t="shared" si="22"/>
        <v>Campaign</v>
      </c>
      <c r="H469">
        <v>1</v>
      </c>
      <c r="I469" s="4">
        <v>0.15</v>
      </c>
      <c r="J469">
        <v>399.15</v>
      </c>
      <c r="K469" s="6">
        <v>89.59</v>
      </c>
      <c r="L469" s="8">
        <f t="shared" si="23"/>
        <v>0.22445196041588378</v>
      </c>
    </row>
    <row r="470" spans="1:12" x14ac:dyDescent="0.2">
      <c r="A470" t="s">
        <v>747</v>
      </c>
      <c r="B470" s="1" t="d">
        <v>2025-05-20</v>
      </c>
      <c r="C470" s="1" t="str">
        <f t="shared" si="21"/>
        <v>May 2025</v>
      </c>
      <c r="D470" t="s">
        <v>292</v>
      </c>
      <c r="E470" t="s">
        <v>41</v>
      </c>
      <c r="F470" t="s">
        <v>16</v>
      </c>
      <c r="G470" t="str">
        <f t="shared" si="22"/>
        <v>Campaign</v>
      </c>
      <c r="H470">
        <v>5</v>
      </c>
      <c r="I470" s="4">
        <v>0</v>
      </c>
      <c r="J470">
        <v>2072.35</v>
      </c>
      <c r="K470" s="6">
        <v>576.1</v>
      </c>
      <c r="L470" s="8">
        <f t="shared" si="23"/>
        <v>0.27799358216517484</v>
      </c>
    </row>
    <row r="471" spans="1:12" x14ac:dyDescent="0.2">
      <c r="A471" t="s">
        <v>748</v>
      </c>
      <c r="B471" s="1" t="d">
        <v>2024-11-25</v>
      </c>
      <c r="C471" s="1" t="str">
        <f t="shared" si="21"/>
        <v>November 2024</v>
      </c>
      <c r="D471" t="s">
        <v>749</v>
      </c>
      <c r="E471" t="s">
        <v>72</v>
      </c>
      <c r="F471" t="s">
        <v>109</v>
      </c>
      <c r="G471" t="str">
        <f t="shared" si="22"/>
        <v>Campaign</v>
      </c>
      <c r="H471">
        <v>3</v>
      </c>
      <c r="I471" s="4">
        <v>0.15</v>
      </c>
      <c r="J471">
        <v>164.53</v>
      </c>
      <c r="K471" s="6">
        <v>79.63</v>
      </c>
      <c r="L471" s="8">
        <f t="shared" si="23"/>
        <v>0.48398468364432018</v>
      </c>
    </row>
    <row r="472" spans="1:12" x14ac:dyDescent="0.2">
      <c r="A472" t="s">
        <v>750</v>
      </c>
      <c r="B472" s="1" t="d">
        <v>2024-12-04</v>
      </c>
      <c r="C472" s="1" t="str">
        <f t="shared" si="21"/>
        <v>December 2024</v>
      </c>
      <c r="D472" t="s">
        <v>751</v>
      </c>
      <c r="E472" t="s">
        <v>65</v>
      </c>
      <c r="F472" t="s">
        <v>1337</v>
      </c>
      <c r="G472" t="str">
        <f t="shared" si="22"/>
        <v>Non-Campaign</v>
      </c>
      <c r="H472">
        <v>4</v>
      </c>
      <c r="I472" s="4">
        <v>0.1</v>
      </c>
      <c r="J472">
        <v>348.44</v>
      </c>
      <c r="K472" s="6">
        <v>88.2</v>
      </c>
      <c r="L472" s="8">
        <f t="shared" si="23"/>
        <v>0.25312822867638618</v>
      </c>
    </row>
    <row r="473" spans="1:12" x14ac:dyDescent="0.2">
      <c r="A473" t="s">
        <v>752</v>
      </c>
      <c r="B473" s="1" t="d">
        <v>2024-10-21</v>
      </c>
      <c r="C473" s="1" t="str">
        <f t="shared" si="21"/>
        <v>October 2024</v>
      </c>
      <c r="D473" t="s">
        <v>281</v>
      </c>
      <c r="E473" t="s">
        <v>11</v>
      </c>
      <c r="F473" t="s">
        <v>109</v>
      </c>
      <c r="G473" t="str">
        <f t="shared" si="22"/>
        <v>Campaign</v>
      </c>
      <c r="H473">
        <v>5</v>
      </c>
      <c r="I473" s="4">
        <v>0.2</v>
      </c>
      <c r="J473">
        <v>809.84</v>
      </c>
      <c r="K473" s="6">
        <v>221.34</v>
      </c>
      <c r="L473" s="8">
        <f t="shared" si="23"/>
        <v>0.2733132470611479</v>
      </c>
    </row>
    <row r="474" spans="1:12" x14ac:dyDescent="0.2">
      <c r="A474" t="s">
        <v>753</v>
      </c>
      <c r="B474" s="1" t="d">
        <v>2024-06-30</v>
      </c>
      <c r="C474" s="1" t="str">
        <f t="shared" si="21"/>
        <v>June 2024</v>
      </c>
      <c r="D474" t="s">
        <v>127</v>
      </c>
      <c r="E474" t="s">
        <v>148</v>
      </c>
      <c r="F474" t="s">
        <v>20</v>
      </c>
      <c r="G474" t="str">
        <f t="shared" si="22"/>
        <v>Campaign</v>
      </c>
      <c r="H474">
        <v>1</v>
      </c>
      <c r="I474" s="4">
        <v>0.2</v>
      </c>
      <c r="J474">
        <v>395.98</v>
      </c>
      <c r="K474" s="6">
        <v>71.28</v>
      </c>
      <c r="L474" s="8">
        <f t="shared" si="23"/>
        <v>0.18000909136825091</v>
      </c>
    </row>
    <row r="475" spans="1:12" x14ac:dyDescent="0.2">
      <c r="A475" t="s">
        <v>754</v>
      </c>
      <c r="B475" s="1" t="d">
        <v>2025-03-01</v>
      </c>
      <c r="C475" s="1" t="str">
        <f t="shared" si="21"/>
        <v>March 2025</v>
      </c>
      <c r="D475" t="s">
        <v>733</v>
      </c>
      <c r="E475" t="s">
        <v>50</v>
      </c>
      <c r="F475" t="s">
        <v>109</v>
      </c>
      <c r="G475" t="str">
        <f t="shared" si="22"/>
        <v>Campaign</v>
      </c>
      <c r="H475">
        <v>3</v>
      </c>
      <c r="I475" s="4">
        <v>0.3</v>
      </c>
      <c r="J475">
        <v>776.96</v>
      </c>
      <c r="K475" s="6">
        <v>260.45</v>
      </c>
      <c r="L475" s="8">
        <f t="shared" si="23"/>
        <v>0.33521674217462927</v>
      </c>
    </row>
    <row r="476" spans="1:12" x14ac:dyDescent="0.2">
      <c r="A476" t="s">
        <v>755</v>
      </c>
      <c r="B476" s="1" t="d">
        <v>2025-05-16</v>
      </c>
      <c r="C476" s="1" t="str">
        <f t="shared" si="21"/>
        <v>May 2025</v>
      </c>
      <c r="D476" t="s">
        <v>756</v>
      </c>
      <c r="E476" t="s">
        <v>106</v>
      </c>
      <c r="F476" t="s">
        <v>20</v>
      </c>
      <c r="G476" t="str">
        <f t="shared" si="22"/>
        <v>Campaign</v>
      </c>
      <c r="H476">
        <v>3</v>
      </c>
      <c r="I476" s="4">
        <v>0.1</v>
      </c>
      <c r="J476">
        <v>533.76</v>
      </c>
      <c r="K476" s="6">
        <v>246.84</v>
      </c>
      <c r="L476" s="8">
        <f t="shared" si="23"/>
        <v>0.46245503597122306</v>
      </c>
    </row>
    <row r="477" spans="1:12" x14ac:dyDescent="0.2">
      <c r="A477" t="s">
        <v>757</v>
      </c>
      <c r="B477" s="1" t="d">
        <v>2025-02-19</v>
      </c>
      <c r="C477" s="1" t="str">
        <f t="shared" si="21"/>
        <v>February 2025</v>
      </c>
      <c r="D477" t="s">
        <v>416</v>
      </c>
      <c r="E477" t="s">
        <v>65</v>
      </c>
      <c r="F477" t="s">
        <v>109</v>
      </c>
      <c r="G477" t="str">
        <f t="shared" si="22"/>
        <v>Campaign</v>
      </c>
      <c r="H477">
        <v>3</v>
      </c>
      <c r="I477" s="4">
        <v>0.3</v>
      </c>
      <c r="J477">
        <v>203.26</v>
      </c>
      <c r="K477" s="6">
        <v>8.08</v>
      </c>
      <c r="L477" s="8">
        <f t="shared" si="23"/>
        <v>3.9752041719964583E-2</v>
      </c>
    </row>
    <row r="478" spans="1:12" x14ac:dyDescent="0.2">
      <c r="A478" t="s">
        <v>758</v>
      </c>
      <c r="B478" s="1" t="d">
        <v>2024-09-02</v>
      </c>
      <c r="C478" s="1" t="str">
        <f t="shared" si="21"/>
        <v>September 2024</v>
      </c>
      <c r="D478" t="s">
        <v>255</v>
      </c>
      <c r="E478" t="s">
        <v>15</v>
      </c>
      <c r="F478" t="s">
        <v>16</v>
      </c>
      <c r="G478" t="str">
        <f t="shared" si="22"/>
        <v>Campaign</v>
      </c>
      <c r="H478">
        <v>5</v>
      </c>
      <c r="I478" s="4">
        <v>0.05</v>
      </c>
      <c r="J478">
        <v>1932.25</v>
      </c>
      <c r="K478" s="6">
        <v>550.70000000000005</v>
      </c>
      <c r="L478" s="8">
        <f t="shared" si="23"/>
        <v>0.28500452839953422</v>
      </c>
    </row>
    <row r="479" spans="1:12" x14ac:dyDescent="0.2">
      <c r="A479" t="s">
        <v>759</v>
      </c>
      <c r="B479" s="1" t="d">
        <v>2024-09-07</v>
      </c>
      <c r="C479" s="1" t="str">
        <f t="shared" si="21"/>
        <v>September 2024</v>
      </c>
      <c r="D479" t="s">
        <v>294</v>
      </c>
      <c r="E479" t="s">
        <v>119</v>
      </c>
      <c r="F479" t="s">
        <v>1337</v>
      </c>
      <c r="G479" t="str">
        <f t="shared" si="22"/>
        <v>Non-Campaign</v>
      </c>
      <c r="H479">
        <v>3</v>
      </c>
      <c r="I479" s="4">
        <v>0.3</v>
      </c>
      <c r="J479">
        <v>263.07</v>
      </c>
      <c r="K479" s="6">
        <v>-37.200000000000003</v>
      </c>
      <c r="L479" s="8">
        <f t="shared" si="23"/>
        <v>-0.14140723001482497</v>
      </c>
    </row>
    <row r="480" spans="1:12" x14ac:dyDescent="0.2">
      <c r="A480" t="s">
        <v>760</v>
      </c>
      <c r="B480" s="1" t="d">
        <v>2024-08-18</v>
      </c>
      <c r="C480" s="1" t="str">
        <f t="shared" si="21"/>
        <v>August 2024</v>
      </c>
      <c r="D480" t="s">
        <v>267</v>
      </c>
      <c r="E480" t="s">
        <v>85</v>
      </c>
      <c r="F480" t="s">
        <v>12</v>
      </c>
      <c r="G480" t="str">
        <f t="shared" si="22"/>
        <v>Campaign</v>
      </c>
      <c r="H480">
        <v>4</v>
      </c>
      <c r="I480" s="4">
        <v>0.1</v>
      </c>
      <c r="J480">
        <v>529.70000000000005</v>
      </c>
      <c r="K480" s="6">
        <v>236.22</v>
      </c>
      <c r="L480" s="8">
        <f t="shared" si="23"/>
        <v>0.44595053804040019</v>
      </c>
    </row>
    <row r="481" spans="1:12" x14ac:dyDescent="0.2">
      <c r="A481" t="s">
        <v>761</v>
      </c>
      <c r="B481" s="1" t="d">
        <v>2025-06-01</v>
      </c>
      <c r="C481" s="1" t="str">
        <f t="shared" si="21"/>
        <v>June 2025</v>
      </c>
      <c r="D481" t="s">
        <v>762</v>
      </c>
      <c r="E481" t="s">
        <v>138</v>
      </c>
      <c r="F481" t="s">
        <v>1337</v>
      </c>
      <c r="G481" t="str">
        <f t="shared" si="22"/>
        <v>Non-Campaign</v>
      </c>
      <c r="H481">
        <v>4</v>
      </c>
      <c r="I481" s="4">
        <v>0.15</v>
      </c>
      <c r="J481">
        <v>1472.78</v>
      </c>
      <c r="K481" s="6">
        <v>771.74</v>
      </c>
      <c r="L481" s="8">
        <f t="shared" si="23"/>
        <v>0.52400222708075883</v>
      </c>
    </row>
    <row r="482" spans="1:12" x14ac:dyDescent="0.2">
      <c r="A482" t="s">
        <v>763</v>
      </c>
      <c r="B482" s="1" t="d">
        <v>2025-01-04</v>
      </c>
      <c r="C482" s="1" t="str">
        <f t="shared" si="21"/>
        <v>January 2025</v>
      </c>
      <c r="D482" t="s">
        <v>764</v>
      </c>
      <c r="E482" t="s">
        <v>148</v>
      </c>
      <c r="F482" t="s">
        <v>30</v>
      </c>
      <c r="G482" t="str">
        <f t="shared" si="22"/>
        <v>Campaign</v>
      </c>
      <c r="H482">
        <v>3</v>
      </c>
      <c r="I482" s="4">
        <v>0.3</v>
      </c>
      <c r="J482">
        <v>1039.44</v>
      </c>
      <c r="K482" s="6">
        <v>65.34</v>
      </c>
      <c r="L482" s="8">
        <f t="shared" si="23"/>
        <v>6.2860771184483952E-2</v>
      </c>
    </row>
    <row r="483" spans="1:12" x14ac:dyDescent="0.2">
      <c r="A483" t="s">
        <v>765</v>
      </c>
      <c r="B483" s="1" t="d">
        <v>2025-01-27</v>
      </c>
      <c r="C483" s="1" t="str">
        <f t="shared" si="21"/>
        <v>January 2025</v>
      </c>
      <c r="D483" t="s">
        <v>674</v>
      </c>
      <c r="E483" t="s">
        <v>96</v>
      </c>
      <c r="F483" t="s">
        <v>1337</v>
      </c>
      <c r="G483" t="str">
        <f t="shared" si="22"/>
        <v>Non-Campaign</v>
      </c>
      <c r="H483">
        <v>3</v>
      </c>
      <c r="I483" s="4">
        <v>0.2</v>
      </c>
      <c r="J483">
        <v>124.25</v>
      </c>
      <c r="K483" s="6">
        <v>5.39</v>
      </c>
      <c r="L483" s="8">
        <f t="shared" si="23"/>
        <v>4.338028169014084E-2</v>
      </c>
    </row>
    <row r="484" spans="1:12" x14ac:dyDescent="0.2">
      <c r="A484" t="s">
        <v>766</v>
      </c>
      <c r="B484" s="1" t="d">
        <v>2024-10-14</v>
      </c>
      <c r="C484" s="1" t="str">
        <f t="shared" si="21"/>
        <v>October 2024</v>
      </c>
      <c r="D484" t="s">
        <v>204</v>
      </c>
      <c r="E484" t="s">
        <v>65</v>
      </c>
      <c r="F484" t="s">
        <v>16</v>
      </c>
      <c r="G484" t="str">
        <f t="shared" si="22"/>
        <v>Campaign</v>
      </c>
      <c r="H484">
        <v>5</v>
      </c>
      <c r="I484" s="4">
        <v>0.05</v>
      </c>
      <c r="J484">
        <v>459.75</v>
      </c>
      <c r="K484" s="6">
        <v>134.44999999999999</v>
      </c>
      <c r="L484" s="8">
        <f t="shared" si="23"/>
        <v>0.29244154431756386</v>
      </c>
    </row>
    <row r="485" spans="1:12" x14ac:dyDescent="0.2">
      <c r="A485" t="s">
        <v>767</v>
      </c>
      <c r="B485" s="1" t="d">
        <v>2024-11-03</v>
      </c>
      <c r="C485" s="1" t="str">
        <f t="shared" si="21"/>
        <v>November 2024</v>
      </c>
      <c r="D485" t="s">
        <v>768</v>
      </c>
      <c r="E485" t="s">
        <v>23</v>
      </c>
      <c r="F485" t="s">
        <v>1337</v>
      </c>
      <c r="G485" t="str">
        <f t="shared" si="22"/>
        <v>Non-Campaign</v>
      </c>
      <c r="H485">
        <v>2</v>
      </c>
      <c r="I485" s="4">
        <v>0.3</v>
      </c>
      <c r="J485">
        <v>367.6</v>
      </c>
      <c r="K485" s="6">
        <v>151.96</v>
      </c>
      <c r="L485" s="8">
        <f t="shared" si="23"/>
        <v>0.41338411316648532</v>
      </c>
    </row>
    <row r="486" spans="1:12" x14ac:dyDescent="0.2">
      <c r="A486" t="s">
        <v>769</v>
      </c>
      <c r="B486" s="1" t="d">
        <v>2024-12-26</v>
      </c>
      <c r="C486" s="1" t="str">
        <f t="shared" si="21"/>
        <v>December 2024</v>
      </c>
      <c r="D486" t="s">
        <v>762</v>
      </c>
      <c r="E486" t="s">
        <v>85</v>
      </c>
      <c r="F486" t="s">
        <v>16</v>
      </c>
      <c r="G486" t="str">
        <f t="shared" si="22"/>
        <v>Campaign</v>
      </c>
      <c r="H486">
        <v>3</v>
      </c>
      <c r="I486" s="4">
        <v>0.3</v>
      </c>
      <c r="J486">
        <v>308.99</v>
      </c>
      <c r="K486" s="6">
        <v>88.88</v>
      </c>
      <c r="L486" s="8">
        <f t="shared" si="23"/>
        <v>0.28764684941260232</v>
      </c>
    </row>
    <row r="487" spans="1:12" x14ac:dyDescent="0.2">
      <c r="A487" t="s">
        <v>770</v>
      </c>
      <c r="B487" s="1" t="d">
        <v>2025-04-26</v>
      </c>
      <c r="C487" s="1" t="str">
        <f t="shared" si="21"/>
        <v>April 2025</v>
      </c>
      <c r="D487" t="s">
        <v>414</v>
      </c>
      <c r="E487" t="s">
        <v>103</v>
      </c>
      <c r="F487" t="s">
        <v>1337</v>
      </c>
      <c r="G487" t="str">
        <f t="shared" si="22"/>
        <v>Non-Campaign</v>
      </c>
      <c r="H487">
        <v>2</v>
      </c>
      <c r="I487" s="4">
        <v>0.3</v>
      </c>
      <c r="J487">
        <v>132.47999999999999</v>
      </c>
      <c r="K487" s="6">
        <v>-15.68</v>
      </c>
      <c r="L487" s="8">
        <f t="shared" si="23"/>
        <v>-0.11835748792270533</v>
      </c>
    </row>
    <row r="488" spans="1:12" x14ac:dyDescent="0.2">
      <c r="A488" t="s">
        <v>771</v>
      </c>
      <c r="B488" s="1" t="d">
        <v>2024-09-22</v>
      </c>
      <c r="C488" s="1" t="str">
        <f t="shared" si="21"/>
        <v>September 2024</v>
      </c>
      <c r="D488" t="s">
        <v>209</v>
      </c>
      <c r="E488" t="s">
        <v>19</v>
      </c>
      <c r="F488" t="s">
        <v>1337</v>
      </c>
      <c r="G488" t="str">
        <f t="shared" si="22"/>
        <v>Non-Campaign</v>
      </c>
      <c r="H488">
        <v>3</v>
      </c>
      <c r="I488" s="4">
        <v>0.1</v>
      </c>
      <c r="J488">
        <v>429.06</v>
      </c>
      <c r="K488" s="6">
        <v>223.14</v>
      </c>
      <c r="L488" s="8">
        <f t="shared" si="23"/>
        <v>0.52006712347923367</v>
      </c>
    </row>
    <row r="489" spans="1:12" x14ac:dyDescent="0.2">
      <c r="A489" t="s">
        <v>772</v>
      </c>
      <c r="B489" s="1" t="d">
        <v>2025-02-11</v>
      </c>
      <c r="C489" s="1" t="str">
        <f t="shared" si="21"/>
        <v>February 2025</v>
      </c>
      <c r="D489" t="s">
        <v>401</v>
      </c>
      <c r="E489" t="s">
        <v>80</v>
      </c>
      <c r="F489" t="s">
        <v>1337</v>
      </c>
      <c r="G489" t="str">
        <f t="shared" si="22"/>
        <v>Non-Campaign</v>
      </c>
      <c r="H489">
        <v>1</v>
      </c>
      <c r="I489" s="4">
        <v>0.15</v>
      </c>
      <c r="J489">
        <v>124.92</v>
      </c>
      <c r="K489" s="6">
        <v>63.58</v>
      </c>
      <c r="L489" s="8">
        <f t="shared" si="23"/>
        <v>0.50896573807236634</v>
      </c>
    </row>
    <row r="490" spans="1:12" x14ac:dyDescent="0.2">
      <c r="A490" t="s">
        <v>773</v>
      </c>
      <c r="B490" s="1" t="d">
        <v>2025-05-20</v>
      </c>
      <c r="C490" s="1" t="str">
        <f t="shared" si="21"/>
        <v>May 2025</v>
      </c>
      <c r="D490" t="s">
        <v>556</v>
      </c>
      <c r="E490" t="s">
        <v>65</v>
      </c>
      <c r="F490" t="s">
        <v>20</v>
      </c>
      <c r="G490" t="str">
        <f t="shared" si="22"/>
        <v>Campaign</v>
      </c>
      <c r="H490">
        <v>4</v>
      </c>
      <c r="I490" s="4">
        <v>0.05</v>
      </c>
      <c r="J490">
        <v>367.8</v>
      </c>
      <c r="K490" s="6">
        <v>107.56</v>
      </c>
      <c r="L490" s="8">
        <f t="shared" si="23"/>
        <v>0.29244154431756392</v>
      </c>
    </row>
    <row r="491" spans="1:12" x14ac:dyDescent="0.2">
      <c r="A491" t="s">
        <v>774</v>
      </c>
      <c r="B491" s="1" t="d">
        <v>2024-12-18</v>
      </c>
      <c r="C491" s="1" t="str">
        <f t="shared" si="21"/>
        <v>December 2024</v>
      </c>
      <c r="D491" t="s">
        <v>565</v>
      </c>
      <c r="E491" t="s">
        <v>23</v>
      </c>
      <c r="F491" t="s">
        <v>1337</v>
      </c>
      <c r="G491" t="str">
        <f t="shared" si="22"/>
        <v>Non-Campaign</v>
      </c>
      <c r="H491">
        <v>5</v>
      </c>
      <c r="I491" s="4">
        <v>0.1</v>
      </c>
      <c r="J491">
        <v>1181.56</v>
      </c>
      <c r="K491" s="6">
        <v>642.46</v>
      </c>
      <c r="L491" s="8">
        <f t="shared" si="23"/>
        <v>0.54373878601171344</v>
      </c>
    </row>
    <row r="492" spans="1:12" x14ac:dyDescent="0.2">
      <c r="A492" t="s">
        <v>775</v>
      </c>
      <c r="B492" s="1" t="d">
        <v>2025-03-16</v>
      </c>
      <c r="C492" s="1" t="str">
        <f t="shared" si="21"/>
        <v>March 2025</v>
      </c>
      <c r="D492" t="s">
        <v>334</v>
      </c>
      <c r="E492" t="s">
        <v>58</v>
      </c>
      <c r="F492" t="s">
        <v>16</v>
      </c>
      <c r="G492" t="str">
        <f t="shared" si="22"/>
        <v>Campaign</v>
      </c>
      <c r="H492">
        <v>2</v>
      </c>
      <c r="I492" s="4">
        <v>0.05</v>
      </c>
      <c r="J492">
        <v>131.47999999999999</v>
      </c>
      <c r="K492" s="6">
        <v>35.119999999999997</v>
      </c>
      <c r="L492" s="8">
        <f t="shared" si="23"/>
        <v>0.26711286887739583</v>
      </c>
    </row>
    <row r="493" spans="1:12" x14ac:dyDescent="0.2">
      <c r="A493" t="s">
        <v>776</v>
      </c>
      <c r="B493" s="1" t="d">
        <v>2024-12-04</v>
      </c>
      <c r="C493" s="1" t="str">
        <f t="shared" si="21"/>
        <v>December 2024</v>
      </c>
      <c r="D493" t="s">
        <v>458</v>
      </c>
      <c r="E493" t="s">
        <v>19</v>
      </c>
      <c r="F493" t="s">
        <v>1337</v>
      </c>
      <c r="G493" t="str">
        <f t="shared" si="22"/>
        <v>Non-Campaign</v>
      </c>
      <c r="H493">
        <v>2</v>
      </c>
      <c r="I493" s="4">
        <v>0.1</v>
      </c>
      <c r="J493">
        <v>286.04000000000002</v>
      </c>
      <c r="K493" s="6">
        <v>148.76</v>
      </c>
      <c r="L493" s="8">
        <f t="shared" si="23"/>
        <v>0.52006712347923356</v>
      </c>
    </row>
    <row r="494" spans="1:12" x14ac:dyDescent="0.2">
      <c r="A494" t="s">
        <v>777</v>
      </c>
      <c r="B494" s="1" t="d">
        <v>2025-03-12</v>
      </c>
      <c r="C494" s="1" t="str">
        <f t="shared" si="21"/>
        <v>March 2025</v>
      </c>
      <c r="D494" t="s">
        <v>437</v>
      </c>
      <c r="E494" t="s">
        <v>47</v>
      </c>
      <c r="F494" t="s">
        <v>20</v>
      </c>
      <c r="G494" t="str">
        <f t="shared" si="22"/>
        <v>Campaign</v>
      </c>
      <c r="H494">
        <v>4</v>
      </c>
      <c r="I494" s="4">
        <v>0.1</v>
      </c>
      <c r="J494">
        <v>1082.1600000000001</v>
      </c>
      <c r="K494" s="6">
        <v>169.4</v>
      </c>
      <c r="L494" s="8">
        <f t="shared" si="23"/>
        <v>0.15653877430324536</v>
      </c>
    </row>
    <row r="495" spans="1:12" x14ac:dyDescent="0.2">
      <c r="A495" t="s">
        <v>778</v>
      </c>
      <c r="B495" s="1" t="d">
        <v>2024-10-15</v>
      </c>
      <c r="C495" s="1" t="str">
        <f t="shared" si="21"/>
        <v>October 2024</v>
      </c>
      <c r="D495" t="s">
        <v>252</v>
      </c>
      <c r="E495" t="s">
        <v>165</v>
      </c>
      <c r="F495" t="s">
        <v>12</v>
      </c>
      <c r="G495" t="str">
        <f t="shared" si="22"/>
        <v>Campaign</v>
      </c>
      <c r="H495">
        <v>1</v>
      </c>
      <c r="I495" s="4">
        <v>0.15</v>
      </c>
      <c r="J495">
        <v>67.930000000000007</v>
      </c>
      <c r="K495" s="6">
        <v>6.48</v>
      </c>
      <c r="L495" s="8">
        <f t="shared" si="23"/>
        <v>9.5392315619019577E-2</v>
      </c>
    </row>
    <row r="496" spans="1:12" x14ac:dyDescent="0.2">
      <c r="A496" t="s">
        <v>779</v>
      </c>
      <c r="B496" s="1" t="d">
        <v>2025-04-17</v>
      </c>
      <c r="C496" s="1" t="str">
        <f t="shared" si="21"/>
        <v>April 2025</v>
      </c>
      <c r="D496" t="s">
        <v>87</v>
      </c>
      <c r="E496" t="s">
        <v>15</v>
      </c>
      <c r="F496" t="s">
        <v>16</v>
      </c>
      <c r="G496" t="str">
        <f t="shared" si="22"/>
        <v>Campaign</v>
      </c>
      <c r="H496">
        <v>5</v>
      </c>
      <c r="I496" s="4">
        <v>0.05</v>
      </c>
      <c r="J496">
        <v>1932.25</v>
      </c>
      <c r="K496" s="6">
        <v>550.70000000000005</v>
      </c>
      <c r="L496" s="8">
        <f t="shared" si="23"/>
        <v>0.28500452839953422</v>
      </c>
    </row>
    <row r="497" spans="1:12" x14ac:dyDescent="0.2">
      <c r="A497" t="s">
        <v>780</v>
      </c>
      <c r="B497" s="1" t="d">
        <v>2025-02-14</v>
      </c>
      <c r="C497" s="1" t="str">
        <f t="shared" si="21"/>
        <v>February 2025</v>
      </c>
      <c r="D497" t="s">
        <v>479</v>
      </c>
      <c r="E497" t="s">
        <v>119</v>
      </c>
      <c r="F497" t="s">
        <v>20</v>
      </c>
      <c r="G497" t="str">
        <f t="shared" si="22"/>
        <v>Campaign</v>
      </c>
      <c r="H497">
        <v>2</v>
      </c>
      <c r="I497" s="4">
        <v>0.2</v>
      </c>
      <c r="J497">
        <v>200.43</v>
      </c>
      <c r="K497" s="6">
        <v>0.25</v>
      </c>
      <c r="L497" s="8">
        <f t="shared" si="23"/>
        <v>1.2473182657286833E-3</v>
      </c>
    </row>
    <row r="498" spans="1:12" x14ac:dyDescent="0.2">
      <c r="A498" t="s">
        <v>781</v>
      </c>
      <c r="B498" s="1" t="d">
        <v>2024-11-18</v>
      </c>
      <c r="C498" s="1" t="str">
        <f t="shared" si="21"/>
        <v>November 2024</v>
      </c>
      <c r="D498" t="s">
        <v>383</v>
      </c>
      <c r="E498" t="s">
        <v>41</v>
      </c>
      <c r="F498" t="s">
        <v>1337</v>
      </c>
      <c r="G498" t="str">
        <f t="shared" si="22"/>
        <v>Non-Campaign</v>
      </c>
      <c r="H498">
        <v>4</v>
      </c>
      <c r="I498" s="4">
        <v>0.15</v>
      </c>
      <c r="J498">
        <v>1409.2</v>
      </c>
      <c r="K498" s="6">
        <v>212.2</v>
      </c>
      <c r="L498" s="8">
        <f t="shared" si="23"/>
        <v>0.15058189043428893</v>
      </c>
    </row>
    <row r="499" spans="1:12" x14ac:dyDescent="0.2">
      <c r="A499" t="s">
        <v>782</v>
      </c>
      <c r="B499" s="1" t="d">
        <v>2025-01-14</v>
      </c>
      <c r="C499" s="1" t="str">
        <f t="shared" si="21"/>
        <v>January 2025</v>
      </c>
      <c r="D499" t="s">
        <v>221</v>
      </c>
      <c r="E499" t="s">
        <v>177</v>
      </c>
      <c r="F499" t="s">
        <v>12</v>
      </c>
      <c r="G499" t="str">
        <f t="shared" si="22"/>
        <v>Campaign</v>
      </c>
      <c r="H499">
        <v>1</v>
      </c>
      <c r="I499" s="4">
        <v>0.2</v>
      </c>
      <c r="J499">
        <v>89.84</v>
      </c>
      <c r="K499" s="6">
        <v>41.8</v>
      </c>
      <c r="L499" s="8">
        <f t="shared" si="23"/>
        <v>0.46527159394479067</v>
      </c>
    </row>
    <row r="500" spans="1:12" x14ac:dyDescent="0.2">
      <c r="A500" t="s">
        <v>783</v>
      </c>
      <c r="B500" s="1" t="d">
        <v>2025-04-24</v>
      </c>
      <c r="C500" s="1" t="str">
        <f t="shared" si="21"/>
        <v>April 2025</v>
      </c>
      <c r="D500" t="s">
        <v>247</v>
      </c>
      <c r="E500" t="s">
        <v>85</v>
      </c>
      <c r="F500" t="s">
        <v>1337</v>
      </c>
      <c r="G500" t="str">
        <f t="shared" si="22"/>
        <v>Non-Campaign</v>
      </c>
      <c r="H500">
        <v>1</v>
      </c>
      <c r="I500" s="4">
        <v>0.1</v>
      </c>
      <c r="J500">
        <v>132.43</v>
      </c>
      <c r="K500" s="6">
        <v>59.06</v>
      </c>
      <c r="L500" s="8">
        <f t="shared" si="23"/>
        <v>0.44597145661859094</v>
      </c>
    </row>
    <row r="501" spans="1:12" x14ac:dyDescent="0.2">
      <c r="A501" t="s">
        <v>784</v>
      </c>
      <c r="B501" s="1" t="d">
        <v>2024-09-01</v>
      </c>
      <c r="C501" s="1" t="str">
        <f t="shared" si="21"/>
        <v>September 2024</v>
      </c>
      <c r="D501" t="s">
        <v>100</v>
      </c>
      <c r="E501" t="s">
        <v>15</v>
      </c>
      <c r="F501" t="s">
        <v>12</v>
      </c>
      <c r="G501" t="str">
        <f t="shared" si="22"/>
        <v>Campaign</v>
      </c>
      <c r="H501">
        <v>1</v>
      </c>
      <c r="I501" s="4">
        <v>0.3</v>
      </c>
      <c r="J501">
        <v>284.75</v>
      </c>
      <c r="K501" s="6">
        <v>8.44</v>
      </c>
      <c r="L501" s="8">
        <f t="shared" si="23"/>
        <v>2.9640035118525022E-2</v>
      </c>
    </row>
    <row r="502" spans="1:12" x14ac:dyDescent="0.2">
      <c r="A502" t="s">
        <v>785</v>
      </c>
      <c r="B502" s="1" t="d">
        <v>2025-06-23</v>
      </c>
      <c r="C502" s="1" t="str">
        <f t="shared" si="21"/>
        <v>June 2025</v>
      </c>
      <c r="D502" t="s">
        <v>171</v>
      </c>
      <c r="E502" t="s">
        <v>103</v>
      </c>
      <c r="F502" t="s">
        <v>1337</v>
      </c>
      <c r="G502" t="str">
        <f t="shared" si="22"/>
        <v>Non-Campaign</v>
      </c>
      <c r="H502">
        <v>3</v>
      </c>
      <c r="I502" s="4">
        <v>0.05</v>
      </c>
      <c r="J502">
        <v>269.7</v>
      </c>
      <c r="K502" s="6">
        <v>47.46</v>
      </c>
      <c r="L502" s="8">
        <f t="shared" si="23"/>
        <v>0.17597330367074529</v>
      </c>
    </row>
    <row r="503" spans="1:12" x14ac:dyDescent="0.2">
      <c r="A503" t="s">
        <v>786</v>
      </c>
      <c r="B503" s="1" t="d">
        <v>2025-02-22</v>
      </c>
      <c r="C503" s="1" t="str">
        <f t="shared" si="21"/>
        <v>February 2025</v>
      </c>
      <c r="D503" t="s">
        <v>410</v>
      </c>
      <c r="E503" t="s">
        <v>177</v>
      </c>
      <c r="F503" t="s">
        <v>109</v>
      </c>
      <c r="G503" t="str">
        <f t="shared" si="22"/>
        <v>Campaign</v>
      </c>
      <c r="H503">
        <v>2</v>
      </c>
      <c r="I503" s="4">
        <v>0</v>
      </c>
      <c r="J503">
        <v>224.6</v>
      </c>
      <c r="K503" s="6">
        <v>128.52000000000001</v>
      </c>
      <c r="L503" s="8">
        <f t="shared" si="23"/>
        <v>0.57221727515583265</v>
      </c>
    </row>
    <row r="504" spans="1:12" x14ac:dyDescent="0.2">
      <c r="A504" t="s">
        <v>787</v>
      </c>
      <c r="B504" s="1" t="d">
        <v>2024-10-23</v>
      </c>
      <c r="C504" s="1" t="str">
        <f t="shared" si="21"/>
        <v>October 2024</v>
      </c>
      <c r="D504" t="s">
        <v>152</v>
      </c>
      <c r="E504" t="s">
        <v>80</v>
      </c>
      <c r="F504" t="s">
        <v>109</v>
      </c>
      <c r="G504" t="str">
        <f t="shared" si="22"/>
        <v>Campaign</v>
      </c>
      <c r="H504">
        <v>4</v>
      </c>
      <c r="I504" s="4">
        <v>0.3</v>
      </c>
      <c r="J504">
        <v>411.52</v>
      </c>
      <c r="K504" s="6">
        <v>166.16</v>
      </c>
      <c r="L504" s="8">
        <f t="shared" si="23"/>
        <v>0.40377138413685848</v>
      </c>
    </row>
    <row r="505" spans="1:12" x14ac:dyDescent="0.2">
      <c r="A505" t="s">
        <v>788</v>
      </c>
      <c r="B505" s="1" t="d">
        <v>2024-10-18</v>
      </c>
      <c r="C505" s="1" t="str">
        <f t="shared" si="21"/>
        <v>October 2024</v>
      </c>
      <c r="D505" t="s">
        <v>324</v>
      </c>
      <c r="E505" t="s">
        <v>75</v>
      </c>
      <c r="F505" t="s">
        <v>1337</v>
      </c>
      <c r="G505" t="str">
        <f t="shared" si="22"/>
        <v>Non-Campaign</v>
      </c>
      <c r="H505">
        <v>4</v>
      </c>
      <c r="I505" s="4">
        <v>0.3</v>
      </c>
      <c r="J505">
        <v>491.85</v>
      </c>
      <c r="K505" s="6">
        <v>-5.15</v>
      </c>
      <c r="L505" s="8">
        <f t="shared" si="23"/>
        <v>-1.0470671952831148E-2</v>
      </c>
    </row>
    <row r="506" spans="1:12" x14ac:dyDescent="0.2">
      <c r="A506" t="s">
        <v>789</v>
      </c>
      <c r="B506" s="1" t="d">
        <v>2024-07-27</v>
      </c>
      <c r="C506" s="1" t="str">
        <f t="shared" si="21"/>
        <v>July 2024</v>
      </c>
      <c r="D506" t="s">
        <v>543</v>
      </c>
      <c r="E506" t="s">
        <v>165</v>
      </c>
      <c r="F506" t="s">
        <v>1337</v>
      </c>
      <c r="G506" t="str">
        <f t="shared" si="22"/>
        <v>Non-Campaign</v>
      </c>
      <c r="H506">
        <v>3</v>
      </c>
      <c r="I506" s="4">
        <v>0.05</v>
      </c>
      <c r="J506">
        <v>227.77</v>
      </c>
      <c r="K506" s="6">
        <v>43.42</v>
      </c>
      <c r="L506" s="8">
        <f t="shared" si="23"/>
        <v>0.19063089959169338</v>
      </c>
    </row>
    <row r="507" spans="1:12" x14ac:dyDescent="0.2">
      <c r="A507" t="s">
        <v>790</v>
      </c>
      <c r="B507" s="1" t="d">
        <v>2024-11-17</v>
      </c>
      <c r="C507" s="1" t="str">
        <f t="shared" si="21"/>
        <v>November 2024</v>
      </c>
      <c r="D507" t="s">
        <v>465</v>
      </c>
      <c r="E507" t="s">
        <v>138</v>
      </c>
      <c r="F507" t="s">
        <v>1337</v>
      </c>
      <c r="G507" t="str">
        <f t="shared" si="22"/>
        <v>Non-Campaign</v>
      </c>
      <c r="H507">
        <v>1</v>
      </c>
      <c r="I507" s="4">
        <v>0.05</v>
      </c>
      <c r="J507">
        <v>411.51</v>
      </c>
      <c r="K507" s="6">
        <v>236.25</v>
      </c>
      <c r="L507" s="8">
        <f t="shared" si="23"/>
        <v>0.57410512502733835</v>
      </c>
    </row>
    <row r="508" spans="1:12" x14ac:dyDescent="0.2">
      <c r="A508" t="s">
        <v>791</v>
      </c>
      <c r="B508" s="1" t="d">
        <v>2025-04-29</v>
      </c>
      <c r="C508" s="1" t="str">
        <f t="shared" si="21"/>
        <v>April 2025</v>
      </c>
      <c r="D508" t="s">
        <v>749</v>
      </c>
      <c r="E508" t="s">
        <v>85</v>
      </c>
      <c r="F508" t="s">
        <v>16</v>
      </c>
      <c r="G508" t="str">
        <f t="shared" si="22"/>
        <v>Campaign</v>
      </c>
      <c r="H508">
        <v>2</v>
      </c>
      <c r="I508" s="4">
        <v>0.3</v>
      </c>
      <c r="J508">
        <v>206</v>
      </c>
      <c r="K508" s="6">
        <v>59.26</v>
      </c>
      <c r="L508" s="8">
        <f t="shared" si="23"/>
        <v>0.28766990291262134</v>
      </c>
    </row>
    <row r="509" spans="1:12" x14ac:dyDescent="0.2">
      <c r="A509" t="s">
        <v>792</v>
      </c>
      <c r="B509" s="1" t="d">
        <v>2025-03-29</v>
      </c>
      <c r="C509" s="1" t="str">
        <f t="shared" si="21"/>
        <v>March 2025</v>
      </c>
      <c r="D509" t="s">
        <v>296</v>
      </c>
      <c r="E509" t="s">
        <v>148</v>
      </c>
      <c r="F509" t="s">
        <v>16</v>
      </c>
      <c r="G509" t="str">
        <f t="shared" si="22"/>
        <v>Campaign</v>
      </c>
      <c r="H509">
        <v>1</v>
      </c>
      <c r="I509" s="4">
        <v>0.1</v>
      </c>
      <c r="J509">
        <v>445.47</v>
      </c>
      <c r="K509" s="6">
        <v>120.77</v>
      </c>
      <c r="L509" s="8">
        <f t="shared" si="23"/>
        <v>0.27110692078029941</v>
      </c>
    </row>
    <row r="510" spans="1:12" x14ac:dyDescent="0.2">
      <c r="A510" t="s">
        <v>793</v>
      </c>
      <c r="B510" s="1" t="d">
        <v>2025-02-07</v>
      </c>
      <c r="C510" s="1" t="str">
        <f t="shared" si="21"/>
        <v>February 2025</v>
      </c>
      <c r="D510" t="s">
        <v>658</v>
      </c>
      <c r="E510" t="s">
        <v>177</v>
      </c>
      <c r="F510" t="s">
        <v>109</v>
      </c>
      <c r="G510" t="str">
        <f t="shared" si="22"/>
        <v>Campaign</v>
      </c>
      <c r="H510">
        <v>5</v>
      </c>
      <c r="I510" s="4">
        <v>0.2</v>
      </c>
      <c r="J510">
        <v>449.2</v>
      </c>
      <c r="K510" s="6">
        <v>209</v>
      </c>
      <c r="L510" s="8">
        <f t="shared" si="23"/>
        <v>0.46527159394479073</v>
      </c>
    </row>
    <row r="511" spans="1:12" x14ac:dyDescent="0.2">
      <c r="A511" t="s">
        <v>794</v>
      </c>
      <c r="B511" s="1" t="d">
        <v>2025-05-27</v>
      </c>
      <c r="C511" s="1" t="str">
        <f t="shared" si="21"/>
        <v>May 2025</v>
      </c>
      <c r="D511" t="s">
        <v>64</v>
      </c>
      <c r="E511" t="s">
        <v>75</v>
      </c>
      <c r="F511" t="s">
        <v>12</v>
      </c>
      <c r="G511" t="str">
        <f t="shared" si="22"/>
        <v>Campaign</v>
      </c>
      <c r="H511">
        <v>1</v>
      </c>
      <c r="I511" s="4">
        <v>0.3</v>
      </c>
      <c r="J511">
        <v>122.96</v>
      </c>
      <c r="K511" s="6">
        <v>-1.29</v>
      </c>
      <c r="L511" s="8">
        <f t="shared" si="23"/>
        <v>-1.0491216655823032E-2</v>
      </c>
    </row>
    <row r="512" spans="1:12" x14ac:dyDescent="0.2">
      <c r="A512" t="s">
        <v>795</v>
      </c>
      <c r="B512" s="1" t="d">
        <v>2025-06-11</v>
      </c>
      <c r="C512" s="1" t="str">
        <f t="shared" si="21"/>
        <v>June 2025</v>
      </c>
      <c r="D512" t="s">
        <v>796</v>
      </c>
      <c r="E512" t="s">
        <v>58</v>
      </c>
      <c r="F512" t="s">
        <v>20</v>
      </c>
      <c r="G512" t="str">
        <f t="shared" si="22"/>
        <v>Campaign</v>
      </c>
      <c r="H512">
        <v>4</v>
      </c>
      <c r="I512" s="4">
        <v>0.15</v>
      </c>
      <c r="J512">
        <v>235.28</v>
      </c>
      <c r="K512" s="6">
        <v>42.56</v>
      </c>
      <c r="L512" s="8">
        <f t="shared" si="23"/>
        <v>0.18089085345120709</v>
      </c>
    </row>
    <row r="513" spans="1:12" x14ac:dyDescent="0.2">
      <c r="A513" t="s">
        <v>797</v>
      </c>
      <c r="B513" s="1" t="d">
        <v>2024-07-27</v>
      </c>
      <c r="C513" s="1" t="str">
        <f t="shared" si="21"/>
        <v>July 2024</v>
      </c>
      <c r="D513" t="s">
        <v>380</v>
      </c>
      <c r="E513" t="s">
        <v>23</v>
      </c>
      <c r="F513" t="s">
        <v>109</v>
      </c>
      <c r="G513" t="str">
        <f t="shared" si="22"/>
        <v>Campaign</v>
      </c>
      <c r="H513">
        <v>4</v>
      </c>
      <c r="I513" s="4">
        <v>0.3</v>
      </c>
      <c r="J513">
        <v>735.2</v>
      </c>
      <c r="K513" s="6">
        <v>303.92</v>
      </c>
      <c r="L513" s="8">
        <f t="shared" si="23"/>
        <v>0.41338411316648532</v>
      </c>
    </row>
    <row r="514" spans="1:12" x14ac:dyDescent="0.2">
      <c r="A514" t="s">
        <v>798</v>
      </c>
      <c r="B514" s="1" t="d">
        <v>2024-07-07</v>
      </c>
      <c r="C514" s="1" t="str">
        <f t="shared" ref="C514:C577" si="24">TEXT(B514, "mmmm yyyy")</f>
        <v>July 2024</v>
      </c>
      <c r="D514" t="s">
        <v>95</v>
      </c>
      <c r="E514" t="s">
        <v>15</v>
      </c>
      <c r="F514" t="s">
        <v>12</v>
      </c>
      <c r="G514" t="str">
        <f t="shared" ref="G514:G577" si="25">IF(F514="No Campaign", "Non-Campaign", "Campaign")</f>
        <v>Campaign</v>
      </c>
      <c r="H514">
        <v>3</v>
      </c>
      <c r="I514" s="4">
        <v>0.15</v>
      </c>
      <c r="J514">
        <v>1037.31</v>
      </c>
      <c r="K514" s="6">
        <v>208.38</v>
      </c>
      <c r="L514" s="8">
        <f t="shared" ref="L514:L577" si="26">IF(J514=0, 0,K514/J514)</f>
        <v>0.20088498134598143</v>
      </c>
    </row>
    <row r="515" spans="1:12" x14ac:dyDescent="0.2">
      <c r="A515" t="s">
        <v>799</v>
      </c>
      <c r="B515" s="1" t="d">
        <v>2025-05-14</v>
      </c>
      <c r="C515" s="1" t="str">
        <f t="shared" si="24"/>
        <v>May 2025</v>
      </c>
      <c r="D515" t="s">
        <v>667</v>
      </c>
      <c r="E515" t="s">
        <v>96</v>
      </c>
      <c r="F515" t="s">
        <v>109</v>
      </c>
      <c r="G515" t="str">
        <f t="shared" si="25"/>
        <v>Campaign</v>
      </c>
      <c r="H515">
        <v>5</v>
      </c>
      <c r="I515" s="4">
        <v>0.2</v>
      </c>
      <c r="J515">
        <v>207.08</v>
      </c>
      <c r="K515" s="6">
        <v>8.98</v>
      </c>
      <c r="L515" s="8">
        <f t="shared" si="26"/>
        <v>4.3364883136951901E-2</v>
      </c>
    </row>
    <row r="516" spans="1:12" x14ac:dyDescent="0.2">
      <c r="A516" t="s">
        <v>800</v>
      </c>
      <c r="B516" s="1" t="d">
        <v>2025-01-08</v>
      </c>
      <c r="C516" s="1" t="str">
        <f t="shared" si="24"/>
        <v>January 2025</v>
      </c>
      <c r="D516" t="s">
        <v>198</v>
      </c>
      <c r="E516" t="s">
        <v>19</v>
      </c>
      <c r="F516" t="s">
        <v>20</v>
      </c>
      <c r="G516" t="str">
        <f t="shared" si="25"/>
        <v>Campaign</v>
      </c>
      <c r="H516">
        <v>5</v>
      </c>
      <c r="I516" s="4">
        <v>0.3</v>
      </c>
      <c r="J516">
        <v>556.17999999999995</v>
      </c>
      <c r="K516" s="6">
        <v>212.98</v>
      </c>
      <c r="L516" s="8">
        <f t="shared" si="26"/>
        <v>0.38293358265309796</v>
      </c>
    </row>
    <row r="517" spans="1:12" x14ac:dyDescent="0.2">
      <c r="A517" t="s">
        <v>801</v>
      </c>
      <c r="B517" s="1" t="d">
        <v>2024-09-27</v>
      </c>
      <c r="C517" s="1" t="str">
        <f t="shared" si="24"/>
        <v>September 2024</v>
      </c>
      <c r="D517" t="s">
        <v>192</v>
      </c>
      <c r="E517" t="s">
        <v>80</v>
      </c>
      <c r="F517" t="s">
        <v>20</v>
      </c>
      <c r="G517" t="str">
        <f t="shared" si="25"/>
        <v>Campaign</v>
      </c>
      <c r="H517">
        <v>1</v>
      </c>
      <c r="I517" s="4">
        <v>0.15</v>
      </c>
      <c r="J517">
        <v>124.92</v>
      </c>
      <c r="K517" s="6">
        <v>63.58</v>
      </c>
      <c r="L517" s="8">
        <f t="shared" si="26"/>
        <v>0.50896573807236634</v>
      </c>
    </row>
    <row r="518" spans="1:12" x14ac:dyDescent="0.2">
      <c r="A518" t="s">
        <v>802</v>
      </c>
      <c r="B518" s="1" t="d">
        <v>2025-03-26</v>
      </c>
      <c r="C518" s="1" t="str">
        <f t="shared" si="24"/>
        <v>March 2025</v>
      </c>
      <c r="D518" t="s">
        <v>803</v>
      </c>
      <c r="E518" t="s">
        <v>75</v>
      </c>
      <c r="F518" t="s">
        <v>30</v>
      </c>
      <c r="G518" t="str">
        <f t="shared" si="25"/>
        <v>Campaign</v>
      </c>
      <c r="H518">
        <v>3</v>
      </c>
      <c r="I518" s="4">
        <v>0.2</v>
      </c>
      <c r="J518">
        <v>421.58</v>
      </c>
      <c r="K518" s="6">
        <v>48.83</v>
      </c>
      <c r="L518" s="8">
        <f t="shared" si="26"/>
        <v>0.1158261777124152</v>
      </c>
    </row>
    <row r="519" spans="1:12" x14ac:dyDescent="0.2">
      <c r="A519" t="s">
        <v>804</v>
      </c>
      <c r="B519" s="1" t="d">
        <v>2025-03-22</v>
      </c>
      <c r="C519" s="1" t="str">
        <f t="shared" si="24"/>
        <v>March 2025</v>
      </c>
      <c r="D519" t="s">
        <v>57</v>
      </c>
      <c r="E519" t="s">
        <v>44</v>
      </c>
      <c r="F519" t="s">
        <v>1337</v>
      </c>
      <c r="G519" t="str">
        <f t="shared" si="25"/>
        <v>Non-Campaign</v>
      </c>
      <c r="H519">
        <v>3</v>
      </c>
      <c r="I519" s="4">
        <v>0.05</v>
      </c>
      <c r="J519">
        <v>458.08</v>
      </c>
      <c r="K519" s="6">
        <v>143.94999999999999</v>
      </c>
      <c r="L519" s="8">
        <f t="shared" si="26"/>
        <v>0.31424641983932938</v>
      </c>
    </row>
    <row r="520" spans="1:12" x14ac:dyDescent="0.2">
      <c r="A520" t="s">
        <v>805</v>
      </c>
      <c r="B520" s="1" t="d">
        <v>2025-04-06</v>
      </c>
      <c r="C520" s="1" t="str">
        <f t="shared" si="24"/>
        <v>April 2025</v>
      </c>
      <c r="D520" t="s">
        <v>806</v>
      </c>
      <c r="E520" t="s">
        <v>50</v>
      </c>
      <c r="F520" t="s">
        <v>1337</v>
      </c>
      <c r="G520" t="str">
        <f t="shared" si="25"/>
        <v>Non-Campaign</v>
      </c>
      <c r="H520">
        <v>2</v>
      </c>
      <c r="I520" s="4">
        <v>0.3</v>
      </c>
      <c r="J520">
        <v>517.97</v>
      </c>
      <c r="K520" s="6">
        <v>173.63</v>
      </c>
      <c r="L520" s="8">
        <f t="shared" si="26"/>
        <v>0.33521246404231902</v>
      </c>
    </row>
    <row r="521" spans="1:12" x14ac:dyDescent="0.2">
      <c r="A521" t="s">
        <v>807</v>
      </c>
      <c r="B521" s="1" t="d">
        <v>2024-09-20</v>
      </c>
      <c r="C521" s="1" t="str">
        <f t="shared" si="24"/>
        <v>September 2024</v>
      </c>
      <c r="D521" t="s">
        <v>808</v>
      </c>
      <c r="E521" t="s">
        <v>165</v>
      </c>
      <c r="F521" t="s">
        <v>30</v>
      </c>
      <c r="G521" t="str">
        <f t="shared" si="25"/>
        <v>Campaign</v>
      </c>
      <c r="H521">
        <v>1</v>
      </c>
      <c r="I521" s="4">
        <v>0</v>
      </c>
      <c r="J521">
        <v>79.92</v>
      </c>
      <c r="K521" s="6">
        <v>18.47</v>
      </c>
      <c r="L521" s="8">
        <f t="shared" si="26"/>
        <v>0.23110610610610607</v>
      </c>
    </row>
    <row r="522" spans="1:12" x14ac:dyDescent="0.2">
      <c r="A522" t="s">
        <v>809</v>
      </c>
      <c r="B522" s="1" t="d">
        <v>2024-08-23</v>
      </c>
      <c r="C522" s="1" t="str">
        <f t="shared" si="24"/>
        <v>August 2024</v>
      </c>
      <c r="D522" t="s">
        <v>414</v>
      </c>
      <c r="E522" t="s">
        <v>138</v>
      </c>
      <c r="F522" t="s">
        <v>20</v>
      </c>
      <c r="G522" t="str">
        <f t="shared" si="25"/>
        <v>Campaign</v>
      </c>
      <c r="H522">
        <v>5</v>
      </c>
      <c r="I522" s="4">
        <v>0.3</v>
      </c>
      <c r="J522">
        <v>1516.09</v>
      </c>
      <c r="K522" s="6">
        <v>639.79</v>
      </c>
      <c r="L522" s="8">
        <f t="shared" si="26"/>
        <v>0.422000013191829</v>
      </c>
    </row>
    <row r="523" spans="1:12" x14ac:dyDescent="0.2">
      <c r="A523" t="s">
        <v>810</v>
      </c>
      <c r="B523" s="1" t="d">
        <v>2025-02-13</v>
      </c>
      <c r="C523" s="1" t="str">
        <f t="shared" si="24"/>
        <v>February 2025</v>
      </c>
      <c r="D523" t="s">
        <v>656</v>
      </c>
      <c r="E523" t="s">
        <v>193</v>
      </c>
      <c r="F523" t="s">
        <v>20</v>
      </c>
      <c r="G523" t="str">
        <f t="shared" si="25"/>
        <v>Campaign</v>
      </c>
      <c r="H523">
        <v>5</v>
      </c>
      <c r="I523" s="4">
        <v>0</v>
      </c>
      <c r="J523">
        <v>1659.7</v>
      </c>
      <c r="K523" s="6">
        <v>634.04999999999995</v>
      </c>
      <c r="L523" s="8">
        <f t="shared" si="26"/>
        <v>0.38202687232632399</v>
      </c>
    </row>
    <row r="524" spans="1:12" x14ac:dyDescent="0.2">
      <c r="A524" t="s">
        <v>811</v>
      </c>
      <c r="B524" s="1" t="d">
        <v>2024-08-15</v>
      </c>
      <c r="C524" s="1" t="str">
        <f t="shared" si="24"/>
        <v>August 2024</v>
      </c>
      <c r="D524" t="s">
        <v>667</v>
      </c>
      <c r="E524" t="s">
        <v>135</v>
      </c>
      <c r="F524" t="s">
        <v>109</v>
      </c>
      <c r="G524" t="str">
        <f t="shared" si="25"/>
        <v>Campaign</v>
      </c>
      <c r="H524">
        <v>2</v>
      </c>
      <c r="I524" s="4">
        <v>0.15</v>
      </c>
      <c r="J524">
        <v>345.41</v>
      </c>
      <c r="K524" s="6">
        <v>20.95</v>
      </c>
      <c r="L524" s="8">
        <f t="shared" si="26"/>
        <v>6.0652557829825419E-2</v>
      </c>
    </row>
    <row r="525" spans="1:12" x14ac:dyDescent="0.2">
      <c r="A525" t="s">
        <v>812</v>
      </c>
      <c r="B525" s="1" t="d">
        <v>2025-01-26</v>
      </c>
      <c r="C525" s="1" t="str">
        <f t="shared" si="24"/>
        <v>January 2025</v>
      </c>
      <c r="D525" t="s">
        <v>79</v>
      </c>
      <c r="E525" t="s">
        <v>72</v>
      </c>
      <c r="F525" t="s">
        <v>1337</v>
      </c>
      <c r="G525" t="str">
        <f t="shared" si="25"/>
        <v>Non-Campaign</v>
      </c>
      <c r="H525">
        <v>1</v>
      </c>
      <c r="I525" s="4">
        <v>0</v>
      </c>
      <c r="J525">
        <v>64.52</v>
      </c>
      <c r="K525" s="6">
        <v>36.22</v>
      </c>
      <c r="L525" s="8">
        <f t="shared" si="26"/>
        <v>0.56137631742095473</v>
      </c>
    </row>
    <row r="526" spans="1:12" x14ac:dyDescent="0.2">
      <c r="A526" t="s">
        <v>813</v>
      </c>
      <c r="B526" s="1" t="d">
        <v>2025-03-21</v>
      </c>
      <c r="C526" s="1" t="str">
        <f t="shared" si="24"/>
        <v>March 2025</v>
      </c>
      <c r="D526" t="s">
        <v>118</v>
      </c>
      <c r="E526" t="s">
        <v>65</v>
      </c>
      <c r="F526" t="s">
        <v>12</v>
      </c>
      <c r="G526" t="str">
        <f t="shared" si="25"/>
        <v>Campaign</v>
      </c>
      <c r="H526">
        <v>3</v>
      </c>
      <c r="I526" s="4">
        <v>0.1</v>
      </c>
      <c r="J526">
        <v>261.33</v>
      </c>
      <c r="K526" s="6">
        <v>66.150000000000006</v>
      </c>
      <c r="L526" s="8">
        <f t="shared" si="26"/>
        <v>0.25312822867638624</v>
      </c>
    </row>
    <row r="527" spans="1:12" x14ac:dyDescent="0.2">
      <c r="A527" t="s">
        <v>814</v>
      </c>
      <c r="B527" s="1" t="d">
        <v>2024-08-20</v>
      </c>
      <c r="C527" s="1" t="str">
        <f t="shared" si="24"/>
        <v>August 2024</v>
      </c>
      <c r="D527" t="s">
        <v>161</v>
      </c>
      <c r="E527" t="s">
        <v>19</v>
      </c>
      <c r="F527" t="s">
        <v>20</v>
      </c>
      <c r="G527" t="str">
        <f t="shared" si="25"/>
        <v>Campaign</v>
      </c>
      <c r="H527">
        <v>1</v>
      </c>
      <c r="I527" s="4">
        <v>0</v>
      </c>
      <c r="J527">
        <v>158.91</v>
      </c>
      <c r="K527" s="6">
        <v>90.27</v>
      </c>
      <c r="L527" s="8">
        <f t="shared" si="26"/>
        <v>0.56805739097602415</v>
      </c>
    </row>
    <row r="528" spans="1:12" x14ac:dyDescent="0.2">
      <c r="A528" t="s">
        <v>815</v>
      </c>
      <c r="B528" s="1" t="d">
        <v>2024-09-04</v>
      </c>
      <c r="C528" s="1" t="str">
        <f t="shared" si="24"/>
        <v>September 2024</v>
      </c>
      <c r="D528" t="s">
        <v>183</v>
      </c>
      <c r="E528" t="s">
        <v>65</v>
      </c>
      <c r="F528" t="s">
        <v>16</v>
      </c>
      <c r="G528" t="str">
        <f t="shared" si="25"/>
        <v>Campaign</v>
      </c>
      <c r="H528">
        <v>2</v>
      </c>
      <c r="I528" s="4">
        <v>0.1</v>
      </c>
      <c r="J528">
        <v>174.22</v>
      </c>
      <c r="K528" s="6">
        <v>44.1</v>
      </c>
      <c r="L528" s="8">
        <f t="shared" si="26"/>
        <v>0.25312822867638618</v>
      </c>
    </row>
    <row r="529" spans="1:12" x14ac:dyDescent="0.2">
      <c r="A529" t="s">
        <v>816</v>
      </c>
      <c r="B529" s="1" t="d">
        <v>2025-04-22</v>
      </c>
      <c r="C529" s="1" t="str">
        <f t="shared" si="24"/>
        <v>April 2025</v>
      </c>
      <c r="D529" t="s">
        <v>349</v>
      </c>
      <c r="E529" t="s">
        <v>135</v>
      </c>
      <c r="F529" t="s">
        <v>1337</v>
      </c>
      <c r="G529" t="str">
        <f t="shared" si="25"/>
        <v>Non-Campaign</v>
      </c>
      <c r="H529">
        <v>5</v>
      </c>
      <c r="I529" s="4">
        <v>0.1</v>
      </c>
      <c r="J529">
        <v>914.31</v>
      </c>
      <c r="K529" s="6">
        <v>103.16</v>
      </c>
      <c r="L529" s="8">
        <f t="shared" si="26"/>
        <v>0.1128282529995297</v>
      </c>
    </row>
    <row r="530" spans="1:12" x14ac:dyDescent="0.2">
      <c r="A530" t="s">
        <v>817</v>
      </c>
      <c r="B530" s="1" t="d">
        <v>2024-08-31</v>
      </c>
      <c r="C530" s="1" t="str">
        <f t="shared" si="24"/>
        <v>August 2024</v>
      </c>
      <c r="D530" t="s">
        <v>818</v>
      </c>
      <c r="E530" t="s">
        <v>44</v>
      </c>
      <c r="F530" t="s">
        <v>1337</v>
      </c>
      <c r="G530" t="str">
        <f t="shared" si="25"/>
        <v>Non-Campaign</v>
      </c>
      <c r="H530">
        <v>2</v>
      </c>
      <c r="I530" s="4">
        <v>0</v>
      </c>
      <c r="J530">
        <v>321.45999999999998</v>
      </c>
      <c r="K530" s="6">
        <v>112.04</v>
      </c>
      <c r="L530" s="8">
        <f t="shared" si="26"/>
        <v>0.34853480992969582</v>
      </c>
    </row>
    <row r="531" spans="1:12" x14ac:dyDescent="0.2">
      <c r="A531" t="s">
        <v>819</v>
      </c>
      <c r="B531" s="1" t="d">
        <v>2025-04-28</v>
      </c>
      <c r="C531" s="1" t="str">
        <f t="shared" si="24"/>
        <v>April 2025</v>
      </c>
      <c r="D531" t="s">
        <v>567</v>
      </c>
      <c r="E531" t="s">
        <v>177</v>
      </c>
      <c r="F531" t="s">
        <v>1337</v>
      </c>
      <c r="G531" t="str">
        <f t="shared" si="25"/>
        <v>Non-Campaign</v>
      </c>
      <c r="H531">
        <v>3</v>
      </c>
      <c r="I531" s="4">
        <v>0.15</v>
      </c>
      <c r="J531">
        <v>286.36</v>
      </c>
      <c r="K531" s="6">
        <v>142.24</v>
      </c>
      <c r="L531" s="8">
        <f t="shared" si="26"/>
        <v>0.49671741863388741</v>
      </c>
    </row>
    <row r="532" spans="1:12" x14ac:dyDescent="0.2">
      <c r="A532" t="s">
        <v>820</v>
      </c>
      <c r="B532" s="1" t="d">
        <v>2024-11-23</v>
      </c>
      <c r="C532" s="1" t="str">
        <f t="shared" si="24"/>
        <v>November 2024</v>
      </c>
      <c r="D532" t="s">
        <v>221</v>
      </c>
      <c r="E532" t="s">
        <v>119</v>
      </c>
      <c r="F532" t="s">
        <v>1337</v>
      </c>
      <c r="G532" t="str">
        <f t="shared" si="25"/>
        <v>Non-Campaign</v>
      </c>
      <c r="H532">
        <v>2</v>
      </c>
      <c r="I532" s="4">
        <v>0</v>
      </c>
      <c r="J532">
        <v>250.54</v>
      </c>
      <c r="K532" s="6">
        <v>50.36</v>
      </c>
      <c r="L532" s="8">
        <f t="shared" si="26"/>
        <v>0.20100582741278838</v>
      </c>
    </row>
    <row r="533" spans="1:12" x14ac:dyDescent="0.2">
      <c r="A533" t="s">
        <v>821</v>
      </c>
      <c r="B533" s="1" t="d">
        <v>2025-04-01</v>
      </c>
      <c r="C533" s="1" t="str">
        <f t="shared" si="24"/>
        <v>April 2025</v>
      </c>
      <c r="D533" t="s">
        <v>292</v>
      </c>
      <c r="E533" t="s">
        <v>53</v>
      </c>
      <c r="F533" t="s">
        <v>12</v>
      </c>
      <c r="G533" t="str">
        <f t="shared" si="25"/>
        <v>Campaign</v>
      </c>
      <c r="H533">
        <v>2</v>
      </c>
      <c r="I533" s="4">
        <v>0</v>
      </c>
      <c r="J533">
        <v>669.22</v>
      </c>
      <c r="K533" s="6">
        <v>295.62</v>
      </c>
      <c r="L533" s="8">
        <f t="shared" si="26"/>
        <v>0.44173814291264457</v>
      </c>
    </row>
    <row r="534" spans="1:12" x14ac:dyDescent="0.2">
      <c r="A534" t="s">
        <v>822</v>
      </c>
      <c r="B534" s="1" t="d">
        <v>2024-11-19</v>
      </c>
      <c r="C534" s="1" t="str">
        <f t="shared" si="24"/>
        <v>November 2024</v>
      </c>
      <c r="D534" t="s">
        <v>34</v>
      </c>
      <c r="E534" t="s">
        <v>138</v>
      </c>
      <c r="F534" t="s">
        <v>1337</v>
      </c>
      <c r="G534" t="str">
        <f t="shared" si="25"/>
        <v>Non-Campaign</v>
      </c>
      <c r="H534">
        <v>5</v>
      </c>
      <c r="I534" s="4">
        <v>0.3</v>
      </c>
      <c r="J534">
        <v>1516.09</v>
      </c>
      <c r="K534" s="6">
        <v>639.79</v>
      </c>
      <c r="L534" s="8">
        <f t="shared" si="26"/>
        <v>0.422000013191829</v>
      </c>
    </row>
    <row r="535" spans="1:12" x14ac:dyDescent="0.2">
      <c r="A535" t="s">
        <v>823</v>
      </c>
      <c r="B535" s="1" t="d">
        <v>2025-03-02</v>
      </c>
      <c r="C535" s="1" t="str">
        <f t="shared" si="24"/>
        <v>March 2025</v>
      </c>
      <c r="D535" t="s">
        <v>91</v>
      </c>
      <c r="E535" t="s">
        <v>35</v>
      </c>
      <c r="F535" t="s">
        <v>1337</v>
      </c>
      <c r="G535" t="str">
        <f t="shared" si="25"/>
        <v>Non-Campaign</v>
      </c>
      <c r="H535">
        <v>3</v>
      </c>
      <c r="I535" s="4">
        <v>0.2</v>
      </c>
      <c r="J535">
        <v>726.84</v>
      </c>
      <c r="K535" s="6">
        <v>69.27</v>
      </c>
      <c r="L535" s="8">
        <f t="shared" si="26"/>
        <v>9.530295525837873E-2</v>
      </c>
    </row>
    <row r="536" spans="1:12" x14ac:dyDescent="0.2">
      <c r="A536" t="s">
        <v>824</v>
      </c>
      <c r="B536" s="1" t="d">
        <v>2024-09-06</v>
      </c>
      <c r="C536" s="1" t="str">
        <f t="shared" si="24"/>
        <v>September 2024</v>
      </c>
      <c r="D536" t="s">
        <v>825</v>
      </c>
      <c r="E536" t="s">
        <v>65</v>
      </c>
      <c r="F536" t="s">
        <v>16</v>
      </c>
      <c r="G536" t="str">
        <f t="shared" si="25"/>
        <v>Campaign</v>
      </c>
      <c r="H536">
        <v>4</v>
      </c>
      <c r="I536" s="4">
        <v>0.15</v>
      </c>
      <c r="J536">
        <v>329.09</v>
      </c>
      <c r="K536" s="6">
        <v>68.849999999999994</v>
      </c>
      <c r="L536" s="8">
        <f t="shared" si="26"/>
        <v>0.20921328511957216</v>
      </c>
    </row>
    <row r="537" spans="1:12" x14ac:dyDescent="0.2">
      <c r="A537" t="s">
        <v>826</v>
      </c>
      <c r="B537" s="1" t="d">
        <v>2025-05-27</v>
      </c>
      <c r="C537" s="1" t="str">
        <f t="shared" si="24"/>
        <v>May 2025</v>
      </c>
      <c r="D537" t="s">
        <v>285</v>
      </c>
      <c r="E537" t="s">
        <v>135</v>
      </c>
      <c r="F537" t="s">
        <v>1337</v>
      </c>
      <c r="G537" t="str">
        <f t="shared" si="25"/>
        <v>Non-Campaign</v>
      </c>
      <c r="H537">
        <v>4</v>
      </c>
      <c r="I537" s="4">
        <v>0</v>
      </c>
      <c r="J537">
        <v>812.72</v>
      </c>
      <c r="K537" s="6">
        <v>163.80000000000001</v>
      </c>
      <c r="L537" s="8">
        <f t="shared" si="26"/>
        <v>0.20154542769957673</v>
      </c>
    </row>
    <row r="538" spans="1:12" x14ac:dyDescent="0.2">
      <c r="A538" t="s">
        <v>827</v>
      </c>
      <c r="B538" s="1" t="d">
        <v>2024-08-17</v>
      </c>
      <c r="C538" s="1" t="str">
        <f t="shared" si="24"/>
        <v>August 2024</v>
      </c>
      <c r="D538" t="s">
        <v>55</v>
      </c>
      <c r="E538" t="s">
        <v>72</v>
      </c>
      <c r="F538" t="s">
        <v>1337</v>
      </c>
      <c r="G538" t="str">
        <f t="shared" si="25"/>
        <v>Non-Campaign</v>
      </c>
      <c r="H538">
        <v>1</v>
      </c>
      <c r="I538" s="4">
        <v>0.3</v>
      </c>
      <c r="J538">
        <v>45.16</v>
      </c>
      <c r="K538" s="6">
        <v>16.86</v>
      </c>
      <c r="L538" s="8">
        <f t="shared" si="26"/>
        <v>0.37333923826395043</v>
      </c>
    </row>
    <row r="539" spans="1:12" x14ac:dyDescent="0.2">
      <c r="A539" t="s">
        <v>828</v>
      </c>
      <c r="B539" s="1" t="d">
        <v>2024-12-14</v>
      </c>
      <c r="C539" s="1" t="str">
        <f t="shared" si="24"/>
        <v>December 2024</v>
      </c>
      <c r="D539" t="s">
        <v>829</v>
      </c>
      <c r="E539" t="s">
        <v>47</v>
      </c>
      <c r="F539" t="s">
        <v>30</v>
      </c>
      <c r="G539" t="str">
        <f t="shared" si="25"/>
        <v>Campaign</v>
      </c>
      <c r="H539">
        <v>3</v>
      </c>
      <c r="I539" s="4">
        <v>0.2</v>
      </c>
      <c r="J539">
        <v>721.44</v>
      </c>
      <c r="K539" s="6">
        <v>36.869999999999997</v>
      </c>
      <c r="L539" s="8">
        <f t="shared" si="26"/>
        <v>5.1106121091151022E-2</v>
      </c>
    </row>
    <row r="540" spans="1:12" x14ac:dyDescent="0.2">
      <c r="A540" t="s">
        <v>830</v>
      </c>
      <c r="B540" s="1" t="d">
        <v>2025-04-05</v>
      </c>
      <c r="C540" s="1" t="str">
        <f t="shared" si="24"/>
        <v>April 2025</v>
      </c>
      <c r="D540" t="s">
        <v>831</v>
      </c>
      <c r="E540" t="s">
        <v>53</v>
      </c>
      <c r="F540" t="s">
        <v>20</v>
      </c>
      <c r="G540" t="str">
        <f t="shared" si="25"/>
        <v>Campaign</v>
      </c>
      <c r="H540">
        <v>4</v>
      </c>
      <c r="I540" s="4">
        <v>0.3</v>
      </c>
      <c r="J540">
        <v>936.91</v>
      </c>
      <c r="K540" s="6">
        <v>189.71</v>
      </c>
      <c r="L540" s="8">
        <f t="shared" si="26"/>
        <v>0.20248476374464999</v>
      </c>
    </row>
    <row r="541" spans="1:12" x14ac:dyDescent="0.2">
      <c r="A541" t="s">
        <v>832</v>
      </c>
      <c r="B541" s="1" t="d">
        <v>2024-12-24</v>
      </c>
      <c r="C541" s="1" t="str">
        <f t="shared" si="24"/>
        <v>December 2024</v>
      </c>
      <c r="D541" t="s">
        <v>171</v>
      </c>
      <c r="E541" t="s">
        <v>106</v>
      </c>
      <c r="F541" t="s">
        <v>1337</v>
      </c>
      <c r="G541" t="str">
        <f t="shared" si="25"/>
        <v>Non-Campaign</v>
      </c>
      <c r="H541">
        <v>4</v>
      </c>
      <c r="I541" s="4">
        <v>0.05</v>
      </c>
      <c r="J541">
        <v>751.22</v>
      </c>
      <c r="K541" s="6">
        <v>368.66</v>
      </c>
      <c r="L541" s="8">
        <f t="shared" si="26"/>
        <v>0.49074838263092041</v>
      </c>
    </row>
    <row r="542" spans="1:12" x14ac:dyDescent="0.2">
      <c r="A542" t="s">
        <v>833</v>
      </c>
      <c r="B542" s="1" t="d">
        <v>2024-10-17</v>
      </c>
      <c r="C542" s="1" t="str">
        <f t="shared" si="24"/>
        <v>October 2024</v>
      </c>
      <c r="D542" t="s">
        <v>834</v>
      </c>
      <c r="E542" t="s">
        <v>135</v>
      </c>
      <c r="F542" t="s">
        <v>12</v>
      </c>
      <c r="G542" t="str">
        <f t="shared" si="25"/>
        <v>Campaign</v>
      </c>
      <c r="H542">
        <v>1</v>
      </c>
      <c r="I542" s="4">
        <v>0.3</v>
      </c>
      <c r="J542">
        <v>142.22999999999999</v>
      </c>
      <c r="K542" s="6">
        <v>-20</v>
      </c>
      <c r="L542" s="8">
        <f t="shared" si="26"/>
        <v>-0.14061730999085989</v>
      </c>
    </row>
    <row r="543" spans="1:12" x14ac:dyDescent="0.2">
      <c r="A543" t="s">
        <v>835</v>
      </c>
      <c r="B543" s="1" t="d">
        <v>2024-10-11</v>
      </c>
      <c r="C543" s="1" t="str">
        <f t="shared" si="24"/>
        <v>October 2024</v>
      </c>
      <c r="D543" t="s">
        <v>245</v>
      </c>
      <c r="E543" t="s">
        <v>38</v>
      </c>
      <c r="F543" t="s">
        <v>1337</v>
      </c>
      <c r="G543" t="str">
        <f t="shared" si="25"/>
        <v>Non-Campaign</v>
      </c>
      <c r="H543">
        <v>4</v>
      </c>
      <c r="I543" s="4">
        <v>0.05</v>
      </c>
      <c r="J543">
        <v>1784.44</v>
      </c>
      <c r="K543" s="6">
        <v>546.20000000000005</v>
      </c>
      <c r="L543" s="8">
        <f t="shared" si="26"/>
        <v>0.30609042612808501</v>
      </c>
    </row>
    <row r="544" spans="1:12" x14ac:dyDescent="0.2">
      <c r="A544" t="s">
        <v>836</v>
      </c>
      <c r="B544" s="1" t="d">
        <v>2025-04-19</v>
      </c>
      <c r="C544" s="1" t="str">
        <f t="shared" si="24"/>
        <v>April 2025</v>
      </c>
      <c r="D544" t="s">
        <v>519</v>
      </c>
      <c r="E544" t="s">
        <v>47</v>
      </c>
      <c r="F544" t="s">
        <v>1337</v>
      </c>
      <c r="G544" t="str">
        <f t="shared" si="25"/>
        <v>Non-Campaign</v>
      </c>
      <c r="H544">
        <v>3</v>
      </c>
      <c r="I544" s="4">
        <v>0.05</v>
      </c>
      <c r="J544">
        <v>856.71</v>
      </c>
      <c r="K544" s="6">
        <v>172.14</v>
      </c>
      <c r="L544" s="8">
        <f t="shared" si="26"/>
        <v>0.20093147039254822</v>
      </c>
    </row>
    <row r="545" spans="1:12" x14ac:dyDescent="0.2">
      <c r="A545" t="s">
        <v>837</v>
      </c>
      <c r="B545" s="1" t="d">
        <v>2024-08-01</v>
      </c>
      <c r="C545" s="1" t="str">
        <f t="shared" si="24"/>
        <v>August 2024</v>
      </c>
      <c r="D545" t="s">
        <v>634</v>
      </c>
      <c r="E545" t="s">
        <v>72</v>
      </c>
      <c r="F545" t="s">
        <v>12</v>
      </c>
      <c r="G545" t="str">
        <f t="shared" si="25"/>
        <v>Campaign</v>
      </c>
      <c r="H545">
        <v>5</v>
      </c>
      <c r="I545" s="4">
        <v>0.05</v>
      </c>
      <c r="J545">
        <v>306.47000000000003</v>
      </c>
      <c r="K545" s="6">
        <v>164.97</v>
      </c>
      <c r="L545" s="8">
        <f t="shared" si="26"/>
        <v>0.53829086044311025</v>
      </c>
    </row>
    <row r="546" spans="1:12" x14ac:dyDescent="0.2">
      <c r="A546" t="s">
        <v>838</v>
      </c>
      <c r="B546" s="1" t="d">
        <v>2024-08-19</v>
      </c>
      <c r="C546" s="1" t="str">
        <f t="shared" si="24"/>
        <v>August 2024</v>
      </c>
      <c r="D546" t="s">
        <v>628</v>
      </c>
      <c r="E546" t="s">
        <v>41</v>
      </c>
      <c r="F546" t="s">
        <v>1337</v>
      </c>
      <c r="G546" t="str">
        <f t="shared" si="25"/>
        <v>Non-Campaign</v>
      </c>
      <c r="H546">
        <v>4</v>
      </c>
      <c r="I546" s="4">
        <v>0.05</v>
      </c>
      <c r="J546">
        <v>1574.99</v>
      </c>
      <c r="K546" s="6">
        <v>377.99</v>
      </c>
      <c r="L546" s="8">
        <f t="shared" si="26"/>
        <v>0.23999517457253697</v>
      </c>
    </row>
    <row r="547" spans="1:12" x14ac:dyDescent="0.2">
      <c r="A547" t="s">
        <v>839</v>
      </c>
      <c r="B547" s="1" t="d">
        <v>2024-10-28</v>
      </c>
      <c r="C547" s="1" t="str">
        <f t="shared" si="24"/>
        <v>October 2024</v>
      </c>
      <c r="D547" t="s">
        <v>234</v>
      </c>
      <c r="E547" t="s">
        <v>11</v>
      </c>
      <c r="F547" t="s">
        <v>1337</v>
      </c>
      <c r="G547" t="str">
        <f t="shared" si="25"/>
        <v>Non-Campaign</v>
      </c>
      <c r="H547">
        <v>5</v>
      </c>
      <c r="I547" s="4">
        <v>0.15</v>
      </c>
      <c r="J547">
        <v>860.46</v>
      </c>
      <c r="K547" s="6">
        <v>271.95999999999998</v>
      </c>
      <c r="L547" s="8">
        <f t="shared" si="26"/>
        <v>0.31606350091811353</v>
      </c>
    </row>
    <row r="548" spans="1:12" x14ac:dyDescent="0.2">
      <c r="A548" t="s">
        <v>840</v>
      </c>
      <c r="B548" s="1" t="d">
        <v>2025-02-06</v>
      </c>
      <c r="C548" s="1" t="str">
        <f t="shared" si="24"/>
        <v>February 2025</v>
      </c>
      <c r="D548" t="s">
        <v>414</v>
      </c>
      <c r="E548" t="s">
        <v>65</v>
      </c>
      <c r="F548" t="s">
        <v>1337</v>
      </c>
      <c r="G548" t="str">
        <f t="shared" si="25"/>
        <v>Non-Campaign</v>
      </c>
      <c r="H548">
        <v>4</v>
      </c>
      <c r="I548" s="4">
        <v>0.1</v>
      </c>
      <c r="J548">
        <v>348.44</v>
      </c>
      <c r="K548" s="6">
        <v>88.2</v>
      </c>
      <c r="L548" s="8">
        <f t="shared" si="26"/>
        <v>0.25312822867638618</v>
      </c>
    </row>
    <row r="549" spans="1:12" x14ac:dyDescent="0.2">
      <c r="A549" t="s">
        <v>841</v>
      </c>
      <c r="B549" s="1" t="d">
        <v>2024-07-06</v>
      </c>
      <c r="C549" s="1" t="str">
        <f t="shared" si="24"/>
        <v>July 2024</v>
      </c>
      <c r="D549" t="s">
        <v>192</v>
      </c>
      <c r="E549" t="s">
        <v>106</v>
      </c>
      <c r="F549" t="s">
        <v>12</v>
      </c>
      <c r="G549" t="str">
        <f t="shared" si="25"/>
        <v>Campaign</v>
      </c>
      <c r="H549">
        <v>1</v>
      </c>
      <c r="I549" s="4">
        <v>0.15</v>
      </c>
      <c r="J549">
        <v>168.04</v>
      </c>
      <c r="K549" s="6">
        <v>72.400000000000006</v>
      </c>
      <c r="L549" s="8">
        <f t="shared" si="26"/>
        <v>0.43084979766722215</v>
      </c>
    </row>
    <row r="550" spans="1:12" x14ac:dyDescent="0.2">
      <c r="A550" t="s">
        <v>842</v>
      </c>
      <c r="B550" s="1" t="d">
        <v>2025-03-22</v>
      </c>
      <c r="C550" s="1" t="str">
        <f t="shared" si="24"/>
        <v>March 2025</v>
      </c>
      <c r="D550" t="s">
        <v>334</v>
      </c>
      <c r="E550" t="s">
        <v>58</v>
      </c>
      <c r="F550" t="s">
        <v>12</v>
      </c>
      <c r="G550" t="str">
        <f t="shared" si="25"/>
        <v>Campaign</v>
      </c>
      <c r="H550">
        <v>1</v>
      </c>
      <c r="I550" s="4">
        <v>0.2</v>
      </c>
      <c r="J550">
        <v>55.36</v>
      </c>
      <c r="K550" s="6">
        <v>7.18</v>
      </c>
      <c r="L550" s="8">
        <f t="shared" si="26"/>
        <v>0.12969653179190752</v>
      </c>
    </row>
    <row r="551" spans="1:12" x14ac:dyDescent="0.2">
      <c r="A551" t="s">
        <v>843</v>
      </c>
      <c r="B551" s="1" t="d">
        <v>2025-05-12</v>
      </c>
      <c r="C551" s="1" t="str">
        <f t="shared" si="24"/>
        <v>May 2025</v>
      </c>
      <c r="D551" t="s">
        <v>145</v>
      </c>
      <c r="E551" t="s">
        <v>135</v>
      </c>
      <c r="F551" t="s">
        <v>30</v>
      </c>
      <c r="G551" t="str">
        <f t="shared" si="25"/>
        <v>Campaign</v>
      </c>
      <c r="H551">
        <v>4</v>
      </c>
      <c r="I551" s="4">
        <v>0.1</v>
      </c>
      <c r="J551">
        <v>731.45</v>
      </c>
      <c r="K551" s="6">
        <v>82.53</v>
      </c>
      <c r="L551" s="8">
        <f t="shared" si="26"/>
        <v>0.11283067878870735</v>
      </c>
    </row>
    <row r="552" spans="1:12" x14ac:dyDescent="0.2">
      <c r="A552" t="s">
        <v>844</v>
      </c>
      <c r="B552" s="1" t="d">
        <v>2025-04-27</v>
      </c>
      <c r="C552" s="1" t="str">
        <f t="shared" si="24"/>
        <v>April 2025</v>
      </c>
      <c r="D552" t="s">
        <v>665</v>
      </c>
      <c r="E552" t="s">
        <v>130</v>
      </c>
      <c r="F552" t="s">
        <v>12</v>
      </c>
      <c r="G552" t="str">
        <f t="shared" si="25"/>
        <v>Campaign</v>
      </c>
      <c r="H552">
        <v>2</v>
      </c>
      <c r="I552" s="4">
        <v>0.15</v>
      </c>
      <c r="J552">
        <v>650.73</v>
      </c>
      <c r="K552" s="6">
        <v>80.81</v>
      </c>
      <c r="L552" s="8">
        <f t="shared" si="26"/>
        <v>0.1241836091773854</v>
      </c>
    </row>
    <row r="553" spans="1:12" x14ac:dyDescent="0.2">
      <c r="A553" t="s">
        <v>845</v>
      </c>
      <c r="B553" s="1" t="d">
        <v>2025-03-02</v>
      </c>
      <c r="C553" s="1" t="str">
        <f t="shared" si="24"/>
        <v>March 2025</v>
      </c>
      <c r="D553" t="s">
        <v>634</v>
      </c>
      <c r="E553" t="s">
        <v>50</v>
      </c>
      <c r="F553" t="s">
        <v>1337</v>
      </c>
      <c r="G553" t="str">
        <f t="shared" si="25"/>
        <v>Non-Campaign</v>
      </c>
      <c r="H553">
        <v>3</v>
      </c>
      <c r="I553" s="4">
        <v>0.3</v>
      </c>
      <c r="J553">
        <v>776.96</v>
      </c>
      <c r="K553" s="6">
        <v>260.45</v>
      </c>
      <c r="L553" s="8">
        <f t="shared" si="26"/>
        <v>0.33521674217462927</v>
      </c>
    </row>
    <row r="554" spans="1:12" x14ac:dyDescent="0.2">
      <c r="A554" t="s">
        <v>846</v>
      </c>
      <c r="B554" s="1" t="d">
        <v>2024-08-23</v>
      </c>
      <c r="C554" s="1" t="str">
        <f t="shared" si="24"/>
        <v>August 2024</v>
      </c>
      <c r="D554" t="s">
        <v>462</v>
      </c>
      <c r="E554" t="s">
        <v>23</v>
      </c>
      <c r="F554" t="s">
        <v>20</v>
      </c>
      <c r="G554" t="str">
        <f t="shared" si="25"/>
        <v>Campaign</v>
      </c>
      <c r="H554">
        <v>2</v>
      </c>
      <c r="I554" s="4">
        <v>0</v>
      </c>
      <c r="J554">
        <v>525.14</v>
      </c>
      <c r="K554" s="6">
        <v>309.5</v>
      </c>
      <c r="L554" s="8">
        <f t="shared" si="26"/>
        <v>0.58936664508512016</v>
      </c>
    </row>
    <row r="555" spans="1:12" x14ac:dyDescent="0.2">
      <c r="A555" t="s">
        <v>847</v>
      </c>
      <c r="B555" s="1" t="d">
        <v>2025-03-26</v>
      </c>
      <c r="C555" s="1" t="str">
        <f t="shared" si="24"/>
        <v>March 2025</v>
      </c>
      <c r="D555" t="s">
        <v>848</v>
      </c>
      <c r="E555" t="s">
        <v>44</v>
      </c>
      <c r="F555" t="s">
        <v>109</v>
      </c>
      <c r="G555" t="str">
        <f t="shared" si="25"/>
        <v>Campaign</v>
      </c>
      <c r="H555">
        <v>5</v>
      </c>
      <c r="I555" s="4">
        <v>0.2</v>
      </c>
      <c r="J555">
        <v>642.91999999999996</v>
      </c>
      <c r="K555" s="6">
        <v>119.37</v>
      </c>
      <c r="L555" s="8">
        <f t="shared" si="26"/>
        <v>0.18566851241211974</v>
      </c>
    </row>
    <row r="556" spans="1:12" x14ac:dyDescent="0.2">
      <c r="A556" t="s">
        <v>849</v>
      </c>
      <c r="B556" s="1" t="d">
        <v>2024-07-07</v>
      </c>
      <c r="C556" s="1" t="str">
        <f t="shared" si="24"/>
        <v>July 2024</v>
      </c>
      <c r="D556" t="s">
        <v>733</v>
      </c>
      <c r="E556" t="s">
        <v>53</v>
      </c>
      <c r="F556" t="s">
        <v>20</v>
      </c>
      <c r="G556" t="str">
        <f t="shared" si="25"/>
        <v>Campaign</v>
      </c>
      <c r="H556">
        <v>1</v>
      </c>
      <c r="I556" s="4">
        <v>0.05</v>
      </c>
      <c r="J556">
        <v>317.88</v>
      </c>
      <c r="K556" s="6">
        <v>131.08000000000001</v>
      </c>
      <c r="L556" s="8">
        <f t="shared" si="26"/>
        <v>0.41235686422549395</v>
      </c>
    </row>
    <row r="557" spans="1:12" x14ac:dyDescent="0.2">
      <c r="A557" t="s">
        <v>850</v>
      </c>
      <c r="B557" s="1" t="d">
        <v>2024-09-19</v>
      </c>
      <c r="C557" s="1" t="str">
        <f t="shared" si="24"/>
        <v>September 2024</v>
      </c>
      <c r="D557" t="s">
        <v>656</v>
      </c>
      <c r="E557" t="s">
        <v>193</v>
      </c>
      <c r="F557" t="s">
        <v>1337</v>
      </c>
      <c r="G557" t="str">
        <f t="shared" si="25"/>
        <v>Non-Campaign</v>
      </c>
      <c r="H557">
        <v>1</v>
      </c>
      <c r="I557" s="4">
        <v>0.1</v>
      </c>
      <c r="J557">
        <v>298.75</v>
      </c>
      <c r="K557" s="6">
        <v>93.62</v>
      </c>
      <c r="L557" s="8">
        <f t="shared" si="26"/>
        <v>0.31337238493723851</v>
      </c>
    </row>
    <row r="558" spans="1:12" x14ac:dyDescent="0.2">
      <c r="A558" t="s">
        <v>851</v>
      </c>
      <c r="B558" s="1" t="d">
        <v>2025-05-13</v>
      </c>
      <c r="C558" s="1" t="str">
        <f t="shared" si="24"/>
        <v>May 2025</v>
      </c>
      <c r="D558" t="s">
        <v>143</v>
      </c>
      <c r="E558" t="s">
        <v>15</v>
      </c>
      <c r="F558" t="s">
        <v>20</v>
      </c>
      <c r="G558" t="str">
        <f t="shared" si="25"/>
        <v>Campaign</v>
      </c>
      <c r="H558">
        <v>4</v>
      </c>
      <c r="I558" s="4">
        <v>0.05</v>
      </c>
      <c r="J558">
        <v>1545.8</v>
      </c>
      <c r="K558" s="6">
        <v>440.56</v>
      </c>
      <c r="L558" s="8">
        <f t="shared" si="26"/>
        <v>0.28500452839953422</v>
      </c>
    </row>
    <row r="559" spans="1:12" x14ac:dyDescent="0.2">
      <c r="A559" t="s">
        <v>852</v>
      </c>
      <c r="B559" s="1" t="d">
        <v>2025-05-08</v>
      </c>
      <c r="C559" s="1" t="str">
        <f t="shared" si="24"/>
        <v>May 2025</v>
      </c>
      <c r="D559" t="s">
        <v>25</v>
      </c>
      <c r="E559" t="s">
        <v>130</v>
      </c>
      <c r="F559" t="s">
        <v>30</v>
      </c>
      <c r="G559" t="str">
        <f t="shared" si="25"/>
        <v>Campaign</v>
      </c>
      <c r="H559">
        <v>3</v>
      </c>
      <c r="I559" s="4">
        <v>0</v>
      </c>
      <c r="J559">
        <v>1148.3399999999999</v>
      </c>
      <c r="K559" s="6">
        <v>293.45999999999998</v>
      </c>
      <c r="L559" s="8">
        <f t="shared" si="26"/>
        <v>0.25555149171848057</v>
      </c>
    </row>
    <row r="560" spans="1:12" x14ac:dyDescent="0.2">
      <c r="A560" t="s">
        <v>853</v>
      </c>
      <c r="B560" s="1" t="d">
        <v>2024-08-04</v>
      </c>
      <c r="C560" s="1" t="str">
        <f t="shared" si="24"/>
        <v>August 2024</v>
      </c>
      <c r="D560" t="s">
        <v>279</v>
      </c>
      <c r="E560" t="s">
        <v>58</v>
      </c>
      <c r="F560" t="s">
        <v>20</v>
      </c>
      <c r="G560" t="str">
        <f t="shared" si="25"/>
        <v>Campaign</v>
      </c>
      <c r="H560">
        <v>4</v>
      </c>
      <c r="I560" s="4">
        <v>0.15</v>
      </c>
      <c r="J560">
        <v>235.28</v>
      </c>
      <c r="K560" s="6">
        <v>42.56</v>
      </c>
      <c r="L560" s="8">
        <f t="shared" si="26"/>
        <v>0.18089085345120709</v>
      </c>
    </row>
    <row r="561" spans="1:12" x14ac:dyDescent="0.2">
      <c r="A561" t="s">
        <v>854</v>
      </c>
      <c r="B561" s="1" t="d">
        <v>2025-04-18</v>
      </c>
      <c r="C561" s="1" t="str">
        <f t="shared" si="24"/>
        <v>April 2025</v>
      </c>
      <c r="D561" t="s">
        <v>190</v>
      </c>
      <c r="E561" t="s">
        <v>193</v>
      </c>
      <c r="F561" t="s">
        <v>1337</v>
      </c>
      <c r="G561" t="str">
        <f t="shared" si="25"/>
        <v>Non-Campaign</v>
      </c>
      <c r="H561">
        <v>1</v>
      </c>
      <c r="I561" s="4">
        <v>0.2</v>
      </c>
      <c r="J561">
        <v>265.55</v>
      </c>
      <c r="K561" s="6">
        <v>60.42</v>
      </c>
      <c r="L561" s="8">
        <f t="shared" si="26"/>
        <v>0.22752777254754283</v>
      </c>
    </row>
    <row r="562" spans="1:12" x14ac:dyDescent="0.2">
      <c r="A562" t="s">
        <v>855</v>
      </c>
      <c r="B562" s="1" t="d">
        <v>2024-11-26</v>
      </c>
      <c r="C562" s="1" t="str">
        <f t="shared" si="24"/>
        <v>November 2024</v>
      </c>
      <c r="D562" t="s">
        <v>64</v>
      </c>
      <c r="E562" t="s">
        <v>50</v>
      </c>
      <c r="F562" t="s">
        <v>1337</v>
      </c>
      <c r="G562" t="str">
        <f t="shared" si="25"/>
        <v>Non-Campaign</v>
      </c>
      <c r="H562">
        <v>5</v>
      </c>
      <c r="I562" s="4">
        <v>0.15</v>
      </c>
      <c r="J562">
        <v>1572.42</v>
      </c>
      <c r="K562" s="6">
        <v>711.57</v>
      </c>
      <c r="L562" s="8">
        <f t="shared" si="26"/>
        <v>0.45253176632197506</v>
      </c>
    </row>
    <row r="563" spans="1:12" x14ac:dyDescent="0.2">
      <c r="A563" t="s">
        <v>856</v>
      </c>
      <c r="B563" s="1" t="d">
        <v>2025-06-30</v>
      </c>
      <c r="C563" s="1" t="str">
        <f t="shared" si="24"/>
        <v>June 2025</v>
      </c>
      <c r="D563" t="s">
        <v>196</v>
      </c>
      <c r="E563" t="s">
        <v>47</v>
      </c>
      <c r="F563" t="s">
        <v>16</v>
      </c>
      <c r="G563" t="str">
        <f t="shared" si="25"/>
        <v>Campaign</v>
      </c>
      <c r="H563">
        <v>5</v>
      </c>
      <c r="I563" s="4">
        <v>0.05</v>
      </c>
      <c r="J563">
        <v>1427.85</v>
      </c>
      <c r="K563" s="6">
        <v>286.89999999999998</v>
      </c>
      <c r="L563" s="8">
        <f t="shared" si="26"/>
        <v>0.20093147039254824</v>
      </c>
    </row>
    <row r="564" spans="1:12" x14ac:dyDescent="0.2">
      <c r="A564" t="s">
        <v>857</v>
      </c>
      <c r="B564" s="1" t="d">
        <v>2025-06-16</v>
      </c>
      <c r="C564" s="1" t="str">
        <f t="shared" si="24"/>
        <v>June 2025</v>
      </c>
      <c r="D564" t="s">
        <v>134</v>
      </c>
      <c r="E564" t="s">
        <v>23</v>
      </c>
      <c r="F564" t="s">
        <v>1337</v>
      </c>
      <c r="G564" t="str">
        <f t="shared" si="25"/>
        <v>Non-Campaign</v>
      </c>
      <c r="H564">
        <v>5</v>
      </c>
      <c r="I564" s="4">
        <v>0.2</v>
      </c>
      <c r="J564">
        <v>1050.28</v>
      </c>
      <c r="K564" s="6">
        <v>511.18</v>
      </c>
      <c r="L564" s="8">
        <f t="shared" si="26"/>
        <v>0.48670830635640022</v>
      </c>
    </row>
    <row r="565" spans="1:12" x14ac:dyDescent="0.2">
      <c r="A565" t="s">
        <v>858</v>
      </c>
      <c r="B565" s="1" t="d">
        <v>2025-05-17</v>
      </c>
      <c r="C565" s="1" t="str">
        <f t="shared" si="24"/>
        <v>May 2025</v>
      </c>
      <c r="D565" t="s">
        <v>77</v>
      </c>
      <c r="E565" t="s">
        <v>38</v>
      </c>
      <c r="F565" t="s">
        <v>1337</v>
      </c>
      <c r="G565" t="str">
        <f t="shared" si="25"/>
        <v>Non-Campaign</v>
      </c>
      <c r="H565">
        <v>4</v>
      </c>
      <c r="I565" s="4">
        <v>0.2</v>
      </c>
      <c r="J565">
        <v>1502.69</v>
      </c>
      <c r="K565" s="6">
        <v>264.45</v>
      </c>
      <c r="L565" s="8">
        <f t="shared" si="26"/>
        <v>0.17598440130698945</v>
      </c>
    </row>
    <row r="566" spans="1:12" x14ac:dyDescent="0.2">
      <c r="A566" t="s">
        <v>859</v>
      </c>
      <c r="B566" s="1" t="d">
        <v>2025-02-25</v>
      </c>
      <c r="C566" s="1" t="str">
        <f t="shared" si="24"/>
        <v>February 2025</v>
      </c>
      <c r="D566" t="s">
        <v>171</v>
      </c>
      <c r="E566" t="s">
        <v>72</v>
      </c>
      <c r="F566" t="s">
        <v>1337</v>
      </c>
      <c r="G566" t="str">
        <f t="shared" si="25"/>
        <v>Non-Campaign</v>
      </c>
      <c r="H566">
        <v>3</v>
      </c>
      <c r="I566" s="4">
        <v>0.1</v>
      </c>
      <c r="J566">
        <v>174.2</v>
      </c>
      <c r="K566" s="6">
        <v>89.3</v>
      </c>
      <c r="L566" s="8">
        <f t="shared" si="26"/>
        <v>0.5126291618828932</v>
      </c>
    </row>
    <row r="567" spans="1:12" x14ac:dyDescent="0.2">
      <c r="A567" t="s">
        <v>860</v>
      </c>
      <c r="B567" s="1" t="d">
        <v>2024-09-01</v>
      </c>
      <c r="C567" s="1" t="str">
        <f t="shared" si="24"/>
        <v>September 2024</v>
      </c>
      <c r="D567" t="s">
        <v>462</v>
      </c>
      <c r="E567" t="s">
        <v>119</v>
      </c>
      <c r="F567" t="s">
        <v>16</v>
      </c>
      <c r="G567" t="str">
        <f t="shared" si="25"/>
        <v>Campaign</v>
      </c>
      <c r="H567">
        <v>2</v>
      </c>
      <c r="I567" s="4">
        <v>0.15</v>
      </c>
      <c r="J567">
        <v>212.96</v>
      </c>
      <c r="K567" s="6">
        <v>12.78</v>
      </c>
      <c r="L567" s="8">
        <f t="shared" si="26"/>
        <v>6.0011269722013517E-2</v>
      </c>
    </row>
    <row r="568" spans="1:12" x14ac:dyDescent="0.2">
      <c r="A568" t="s">
        <v>861</v>
      </c>
      <c r="B568" s="1" t="d">
        <v>2025-01-24</v>
      </c>
      <c r="C568" s="1" t="str">
        <f t="shared" si="24"/>
        <v>January 2025</v>
      </c>
      <c r="D568" t="s">
        <v>624</v>
      </c>
      <c r="E568" t="s">
        <v>80</v>
      </c>
      <c r="F568" t="s">
        <v>1337</v>
      </c>
      <c r="G568" t="str">
        <f t="shared" si="25"/>
        <v>Non-Campaign</v>
      </c>
      <c r="H568">
        <v>5</v>
      </c>
      <c r="I568" s="4">
        <v>0.3</v>
      </c>
      <c r="J568">
        <v>514.4</v>
      </c>
      <c r="K568" s="6">
        <v>207.7</v>
      </c>
      <c r="L568" s="8">
        <f t="shared" si="26"/>
        <v>0.40377138413685848</v>
      </c>
    </row>
    <row r="569" spans="1:12" x14ac:dyDescent="0.2">
      <c r="A569" t="s">
        <v>862</v>
      </c>
      <c r="B569" s="1" t="d">
        <v>2024-11-07</v>
      </c>
      <c r="C569" s="1" t="str">
        <f t="shared" si="24"/>
        <v>November 2024</v>
      </c>
      <c r="D569" t="s">
        <v>281</v>
      </c>
      <c r="E569" t="s">
        <v>15</v>
      </c>
      <c r="F569" t="s">
        <v>30</v>
      </c>
      <c r="G569" t="str">
        <f t="shared" si="25"/>
        <v>Campaign</v>
      </c>
      <c r="H569">
        <v>5</v>
      </c>
      <c r="I569" s="4">
        <v>0.3</v>
      </c>
      <c r="J569">
        <v>1423.76</v>
      </c>
      <c r="K569" s="6">
        <v>42.21</v>
      </c>
      <c r="L569" s="8">
        <f t="shared" si="26"/>
        <v>2.964685059279654E-2</v>
      </c>
    </row>
    <row r="570" spans="1:12" x14ac:dyDescent="0.2">
      <c r="A570" t="s">
        <v>863</v>
      </c>
      <c r="B570" s="1" t="d">
        <v>2025-05-20</v>
      </c>
      <c r="C570" s="1" t="str">
        <f t="shared" si="24"/>
        <v>May 2025</v>
      </c>
      <c r="D570" t="s">
        <v>321</v>
      </c>
      <c r="E570" t="s">
        <v>96</v>
      </c>
      <c r="F570" t="s">
        <v>1337</v>
      </c>
      <c r="G570" t="str">
        <f t="shared" si="25"/>
        <v>Non-Campaign</v>
      </c>
      <c r="H570">
        <v>2</v>
      </c>
      <c r="I570" s="4">
        <v>0.3</v>
      </c>
      <c r="J570">
        <v>72.48</v>
      </c>
      <c r="K570" s="6">
        <v>-6.76</v>
      </c>
      <c r="L570" s="8">
        <f t="shared" si="26"/>
        <v>-9.326710816777041E-2</v>
      </c>
    </row>
    <row r="571" spans="1:12" x14ac:dyDescent="0.2">
      <c r="A571" t="s">
        <v>864</v>
      </c>
      <c r="B571" s="1" t="d">
        <v>2025-03-11</v>
      </c>
      <c r="C571" s="1" t="str">
        <f t="shared" si="24"/>
        <v>March 2025</v>
      </c>
      <c r="D571" t="s">
        <v>590</v>
      </c>
      <c r="E571" t="s">
        <v>38</v>
      </c>
      <c r="F571" t="s">
        <v>1337</v>
      </c>
      <c r="G571" t="str">
        <f t="shared" si="25"/>
        <v>Non-Campaign</v>
      </c>
      <c r="H571">
        <v>1</v>
      </c>
      <c r="I571" s="4">
        <v>0.1</v>
      </c>
      <c r="J571">
        <v>422.63</v>
      </c>
      <c r="K571" s="6">
        <v>113.07</v>
      </c>
      <c r="L571" s="8">
        <f t="shared" si="26"/>
        <v>0.26753898208835147</v>
      </c>
    </row>
    <row r="572" spans="1:12" x14ac:dyDescent="0.2">
      <c r="A572" t="s">
        <v>865</v>
      </c>
      <c r="B572" s="1" t="d">
        <v>2025-03-05</v>
      </c>
      <c r="C572" s="1" t="str">
        <f t="shared" si="24"/>
        <v>March 2025</v>
      </c>
      <c r="D572" t="s">
        <v>237</v>
      </c>
      <c r="E572" t="s">
        <v>106</v>
      </c>
      <c r="F572" t="s">
        <v>1337</v>
      </c>
      <c r="G572" t="str">
        <f t="shared" si="25"/>
        <v>Non-Campaign</v>
      </c>
      <c r="H572">
        <v>5</v>
      </c>
      <c r="I572" s="4">
        <v>0.1</v>
      </c>
      <c r="J572">
        <v>889.6</v>
      </c>
      <c r="K572" s="6">
        <v>411.4</v>
      </c>
      <c r="L572" s="8">
        <f t="shared" si="26"/>
        <v>0.46245503597122301</v>
      </c>
    </row>
    <row r="573" spans="1:12" x14ac:dyDescent="0.2">
      <c r="A573" t="s">
        <v>866</v>
      </c>
      <c r="B573" s="1" t="d">
        <v>2025-05-25</v>
      </c>
      <c r="C573" s="1" t="str">
        <f t="shared" si="24"/>
        <v>May 2025</v>
      </c>
      <c r="D573" t="s">
        <v>867</v>
      </c>
      <c r="E573" t="s">
        <v>119</v>
      </c>
      <c r="F573" t="s">
        <v>12</v>
      </c>
      <c r="G573" t="str">
        <f t="shared" si="25"/>
        <v>Campaign</v>
      </c>
      <c r="H573">
        <v>5</v>
      </c>
      <c r="I573" s="4">
        <v>0</v>
      </c>
      <c r="J573">
        <v>626.35</v>
      </c>
      <c r="K573" s="6">
        <v>125.9</v>
      </c>
      <c r="L573" s="8">
        <f t="shared" si="26"/>
        <v>0.20100582741278838</v>
      </c>
    </row>
    <row r="574" spans="1:12" x14ac:dyDescent="0.2">
      <c r="A574" t="s">
        <v>868</v>
      </c>
      <c r="B574" s="1" t="d">
        <v>2025-03-22</v>
      </c>
      <c r="C574" s="1" t="str">
        <f t="shared" si="24"/>
        <v>March 2025</v>
      </c>
      <c r="D574" t="s">
        <v>869</v>
      </c>
      <c r="E574" t="s">
        <v>177</v>
      </c>
      <c r="F574" t="s">
        <v>16</v>
      </c>
      <c r="G574" t="str">
        <f t="shared" si="25"/>
        <v>Campaign</v>
      </c>
      <c r="H574">
        <v>1</v>
      </c>
      <c r="I574" s="4">
        <v>0.3</v>
      </c>
      <c r="J574">
        <v>78.61</v>
      </c>
      <c r="K574" s="6">
        <v>30.57</v>
      </c>
      <c r="L574" s="8">
        <f t="shared" si="26"/>
        <v>0.3888818216511894</v>
      </c>
    </row>
    <row r="575" spans="1:12" x14ac:dyDescent="0.2">
      <c r="A575" t="s">
        <v>870</v>
      </c>
      <c r="B575" s="1" t="d">
        <v>2025-04-28</v>
      </c>
      <c r="C575" s="1" t="str">
        <f t="shared" si="24"/>
        <v>April 2025</v>
      </c>
      <c r="D575" t="s">
        <v>574</v>
      </c>
      <c r="E575" t="s">
        <v>15</v>
      </c>
      <c r="F575" t="s">
        <v>109</v>
      </c>
      <c r="G575" t="str">
        <f t="shared" si="25"/>
        <v>Campaign</v>
      </c>
      <c r="H575">
        <v>2</v>
      </c>
      <c r="I575" s="4">
        <v>0.1</v>
      </c>
      <c r="J575">
        <v>732.22</v>
      </c>
      <c r="K575" s="6">
        <v>179.6</v>
      </c>
      <c r="L575" s="8">
        <f t="shared" si="26"/>
        <v>0.24528147278140447</v>
      </c>
    </row>
    <row r="576" spans="1:12" x14ac:dyDescent="0.2">
      <c r="A576" t="s">
        <v>871</v>
      </c>
      <c r="B576" s="1" t="d">
        <v>2024-07-25</v>
      </c>
      <c r="C576" s="1" t="str">
        <f t="shared" si="24"/>
        <v>July 2024</v>
      </c>
      <c r="D576" t="s">
        <v>425</v>
      </c>
      <c r="E576" t="s">
        <v>193</v>
      </c>
      <c r="F576" t="s">
        <v>12</v>
      </c>
      <c r="G576" t="str">
        <f t="shared" si="25"/>
        <v>Campaign</v>
      </c>
      <c r="H576">
        <v>3</v>
      </c>
      <c r="I576" s="4">
        <v>0.05</v>
      </c>
      <c r="J576">
        <v>946.03</v>
      </c>
      <c r="K576" s="6">
        <v>330.64</v>
      </c>
      <c r="L576" s="8">
        <f t="shared" si="26"/>
        <v>0.34950265847806095</v>
      </c>
    </row>
    <row r="577" spans="1:12" x14ac:dyDescent="0.2">
      <c r="A577" t="s">
        <v>872</v>
      </c>
      <c r="B577" s="1" t="d">
        <v>2024-12-22</v>
      </c>
      <c r="C577" s="1" t="str">
        <f t="shared" si="24"/>
        <v>December 2024</v>
      </c>
      <c r="D577" t="s">
        <v>873</v>
      </c>
      <c r="E577" t="s">
        <v>58</v>
      </c>
      <c r="F577" t="s">
        <v>1337</v>
      </c>
      <c r="G577" t="str">
        <f t="shared" si="25"/>
        <v>Non-Campaign</v>
      </c>
      <c r="H577">
        <v>4</v>
      </c>
      <c r="I577" s="4">
        <v>0</v>
      </c>
      <c r="J577">
        <v>276.8</v>
      </c>
      <c r="K577" s="6">
        <v>84.08</v>
      </c>
      <c r="L577" s="8">
        <f t="shared" si="26"/>
        <v>0.30375722543352601</v>
      </c>
    </row>
    <row r="578" spans="1:12" x14ac:dyDescent="0.2">
      <c r="A578" t="s">
        <v>874</v>
      </c>
      <c r="B578" s="1" t="d">
        <v>2025-02-01</v>
      </c>
      <c r="C578" s="1" t="str">
        <f t="shared" ref="C578:C641" si="27">TEXT(B578, "mmmm yyyy")</f>
        <v>February 2025</v>
      </c>
      <c r="D578" t="s">
        <v>237</v>
      </c>
      <c r="E578" t="s">
        <v>65</v>
      </c>
      <c r="F578" t="s">
        <v>30</v>
      </c>
      <c r="G578" t="str">
        <f t="shared" ref="G578:G641" si="28">IF(F578="No Campaign", "Non-Campaign", "Campaign")</f>
        <v>Campaign</v>
      </c>
      <c r="H578">
        <v>5</v>
      </c>
      <c r="I578" s="4">
        <v>0.15</v>
      </c>
      <c r="J578">
        <v>411.36</v>
      </c>
      <c r="K578" s="6">
        <v>86.06</v>
      </c>
      <c r="L578" s="8">
        <f t="shared" ref="L578:L641" si="29">IF(J578=0, 0,K578/J578)</f>
        <v>0.20920847919097627</v>
      </c>
    </row>
    <row r="579" spans="1:12" x14ac:dyDescent="0.2">
      <c r="A579" t="s">
        <v>875</v>
      </c>
      <c r="B579" s="1" t="d">
        <v>2024-11-23</v>
      </c>
      <c r="C579" s="1" t="str">
        <f t="shared" si="27"/>
        <v>November 2024</v>
      </c>
      <c r="D579" t="s">
        <v>508</v>
      </c>
      <c r="E579" t="s">
        <v>38</v>
      </c>
      <c r="F579" t="s">
        <v>109</v>
      </c>
      <c r="G579" t="str">
        <f t="shared" si="28"/>
        <v>Campaign</v>
      </c>
      <c r="H579">
        <v>1</v>
      </c>
      <c r="I579" s="4">
        <v>0.15</v>
      </c>
      <c r="J579">
        <v>399.15</v>
      </c>
      <c r="K579" s="6">
        <v>89.59</v>
      </c>
      <c r="L579" s="8">
        <f t="shared" si="29"/>
        <v>0.22445196041588378</v>
      </c>
    </row>
    <row r="580" spans="1:12" x14ac:dyDescent="0.2">
      <c r="A580" t="s">
        <v>876</v>
      </c>
      <c r="B580" s="1" t="d">
        <v>2024-08-23</v>
      </c>
      <c r="C580" s="1" t="str">
        <f t="shared" si="27"/>
        <v>August 2024</v>
      </c>
      <c r="D580" t="s">
        <v>651</v>
      </c>
      <c r="E580" t="s">
        <v>19</v>
      </c>
      <c r="F580" t="s">
        <v>1337</v>
      </c>
      <c r="G580" t="str">
        <f t="shared" si="28"/>
        <v>Non-Campaign</v>
      </c>
      <c r="H580">
        <v>5</v>
      </c>
      <c r="I580" s="4">
        <v>0</v>
      </c>
      <c r="J580">
        <v>794.55</v>
      </c>
      <c r="K580" s="6">
        <v>451.35</v>
      </c>
      <c r="L580" s="8">
        <f t="shared" si="29"/>
        <v>0.56805739097602426</v>
      </c>
    </row>
    <row r="581" spans="1:12" x14ac:dyDescent="0.2">
      <c r="A581" t="s">
        <v>877</v>
      </c>
      <c r="B581" s="1" t="d">
        <v>2024-12-25</v>
      </c>
      <c r="C581" s="1" t="str">
        <f t="shared" si="27"/>
        <v>December 2024</v>
      </c>
      <c r="D581" t="s">
        <v>716</v>
      </c>
      <c r="E581" t="s">
        <v>85</v>
      </c>
      <c r="F581" t="s">
        <v>109</v>
      </c>
      <c r="G581" t="str">
        <f t="shared" si="28"/>
        <v>Campaign</v>
      </c>
      <c r="H581">
        <v>2</v>
      </c>
      <c r="I581" s="4">
        <v>0.2</v>
      </c>
      <c r="J581">
        <v>235.42</v>
      </c>
      <c r="K581" s="6">
        <v>88.68</v>
      </c>
      <c r="L581" s="8">
        <f t="shared" si="29"/>
        <v>0.37668847166765784</v>
      </c>
    </row>
    <row r="582" spans="1:12" x14ac:dyDescent="0.2">
      <c r="A582" t="s">
        <v>878</v>
      </c>
      <c r="B582" s="1" t="d">
        <v>2024-12-17</v>
      </c>
      <c r="C582" s="1" t="str">
        <f t="shared" si="27"/>
        <v>December 2024</v>
      </c>
      <c r="D582" t="s">
        <v>547</v>
      </c>
      <c r="E582" t="s">
        <v>130</v>
      </c>
      <c r="F582" t="s">
        <v>30</v>
      </c>
      <c r="G582" t="str">
        <f t="shared" si="28"/>
        <v>Campaign</v>
      </c>
      <c r="H582">
        <v>3</v>
      </c>
      <c r="I582" s="4">
        <v>0.2</v>
      </c>
      <c r="J582">
        <v>918.67</v>
      </c>
      <c r="K582" s="6">
        <v>63.79</v>
      </c>
      <c r="L582" s="8">
        <f t="shared" si="29"/>
        <v>6.9437338761470388E-2</v>
      </c>
    </row>
    <row r="583" spans="1:12" x14ac:dyDescent="0.2">
      <c r="A583" t="s">
        <v>879</v>
      </c>
      <c r="B583" s="1" t="d">
        <v>2024-11-03</v>
      </c>
      <c r="C583" s="1" t="str">
        <f t="shared" si="27"/>
        <v>November 2024</v>
      </c>
      <c r="D583" t="s">
        <v>155</v>
      </c>
      <c r="E583" t="s">
        <v>85</v>
      </c>
      <c r="F583" t="s">
        <v>30</v>
      </c>
      <c r="G583" t="str">
        <f t="shared" si="28"/>
        <v>Campaign</v>
      </c>
      <c r="H583">
        <v>2</v>
      </c>
      <c r="I583" s="4">
        <v>0.1</v>
      </c>
      <c r="J583">
        <v>264.85000000000002</v>
      </c>
      <c r="K583" s="6">
        <v>118.11</v>
      </c>
      <c r="L583" s="8">
        <f t="shared" si="29"/>
        <v>0.44595053804040019</v>
      </c>
    </row>
    <row r="584" spans="1:12" x14ac:dyDescent="0.2">
      <c r="A584" t="s">
        <v>880</v>
      </c>
      <c r="B584" s="1" t="d">
        <v>2025-06-27</v>
      </c>
      <c r="C584" s="1" t="str">
        <f t="shared" si="27"/>
        <v>June 2025</v>
      </c>
      <c r="D584" t="s">
        <v>412</v>
      </c>
      <c r="E584" t="s">
        <v>35</v>
      </c>
      <c r="F584" t="s">
        <v>20</v>
      </c>
      <c r="G584" t="str">
        <f t="shared" si="28"/>
        <v>Campaign</v>
      </c>
      <c r="H584">
        <v>2</v>
      </c>
      <c r="I584" s="4">
        <v>0.05</v>
      </c>
      <c r="J584">
        <v>575.41999999999996</v>
      </c>
      <c r="K584" s="6">
        <v>137.04</v>
      </c>
      <c r="L584" s="8">
        <f t="shared" si="29"/>
        <v>0.23815647700809844</v>
      </c>
    </row>
    <row r="585" spans="1:12" x14ac:dyDescent="0.2">
      <c r="A585" t="s">
        <v>881</v>
      </c>
      <c r="B585" s="1" t="d">
        <v>2024-07-19</v>
      </c>
      <c r="C585" s="1" t="str">
        <f t="shared" si="27"/>
        <v>July 2024</v>
      </c>
      <c r="D585" t="s">
        <v>882</v>
      </c>
      <c r="E585" t="s">
        <v>23</v>
      </c>
      <c r="F585" t="s">
        <v>1337</v>
      </c>
      <c r="G585" t="str">
        <f t="shared" si="28"/>
        <v>Non-Campaign</v>
      </c>
      <c r="H585">
        <v>1</v>
      </c>
      <c r="I585" s="4">
        <v>0.15</v>
      </c>
      <c r="J585">
        <v>223.18</v>
      </c>
      <c r="K585" s="6">
        <v>115.36</v>
      </c>
      <c r="L585" s="8">
        <f t="shared" si="29"/>
        <v>0.51689219464109681</v>
      </c>
    </row>
    <row r="586" spans="1:12" x14ac:dyDescent="0.2">
      <c r="A586" t="s">
        <v>883</v>
      </c>
      <c r="B586" s="1" t="d">
        <v>2025-06-28</v>
      </c>
      <c r="C586" s="1" t="str">
        <f t="shared" si="27"/>
        <v>June 2025</v>
      </c>
      <c r="D586" t="s">
        <v>102</v>
      </c>
      <c r="E586" t="s">
        <v>50</v>
      </c>
      <c r="F586" t="s">
        <v>109</v>
      </c>
      <c r="G586" t="str">
        <f t="shared" si="28"/>
        <v>Campaign</v>
      </c>
      <c r="H586">
        <v>2</v>
      </c>
      <c r="I586" s="4">
        <v>0.05</v>
      </c>
      <c r="J586">
        <v>702.96</v>
      </c>
      <c r="K586" s="6">
        <v>358.62</v>
      </c>
      <c r="L586" s="8">
        <f t="shared" si="29"/>
        <v>0.51015705018777735</v>
      </c>
    </row>
    <row r="587" spans="1:12" x14ac:dyDescent="0.2">
      <c r="A587" t="s">
        <v>884</v>
      </c>
      <c r="B587" s="1" t="d">
        <v>2025-02-23</v>
      </c>
      <c r="C587" s="1" t="str">
        <f t="shared" si="27"/>
        <v>February 2025</v>
      </c>
      <c r="D587" t="s">
        <v>401</v>
      </c>
      <c r="E587" t="s">
        <v>65</v>
      </c>
      <c r="F587" t="s">
        <v>109</v>
      </c>
      <c r="G587" t="str">
        <f t="shared" si="28"/>
        <v>Campaign</v>
      </c>
      <c r="H587">
        <v>1</v>
      </c>
      <c r="I587" s="4">
        <v>0.1</v>
      </c>
      <c r="J587">
        <v>87.11</v>
      </c>
      <c r="K587" s="6">
        <v>22.05</v>
      </c>
      <c r="L587" s="8">
        <f t="shared" si="29"/>
        <v>0.25312822867638618</v>
      </c>
    </row>
    <row r="588" spans="1:12" x14ac:dyDescent="0.2">
      <c r="A588" t="s">
        <v>885</v>
      </c>
      <c r="B588" s="1" t="d">
        <v>2024-09-04</v>
      </c>
      <c r="C588" s="1" t="str">
        <f t="shared" si="27"/>
        <v>September 2024</v>
      </c>
      <c r="D588" t="s">
        <v>886</v>
      </c>
      <c r="E588" t="s">
        <v>53</v>
      </c>
      <c r="F588" t="s">
        <v>16</v>
      </c>
      <c r="G588" t="str">
        <f t="shared" si="28"/>
        <v>Campaign</v>
      </c>
      <c r="H588">
        <v>1</v>
      </c>
      <c r="I588" s="4">
        <v>0.05</v>
      </c>
      <c r="J588">
        <v>317.88</v>
      </c>
      <c r="K588" s="6">
        <v>131.08000000000001</v>
      </c>
      <c r="L588" s="8">
        <f t="shared" si="29"/>
        <v>0.41235686422549395</v>
      </c>
    </row>
    <row r="589" spans="1:12" x14ac:dyDescent="0.2">
      <c r="A589" t="s">
        <v>887</v>
      </c>
      <c r="B589" s="1" t="d">
        <v>2024-11-09</v>
      </c>
      <c r="C589" s="1" t="str">
        <f t="shared" si="27"/>
        <v>November 2024</v>
      </c>
      <c r="D589" t="s">
        <v>888</v>
      </c>
      <c r="E589" t="s">
        <v>75</v>
      </c>
      <c r="F589" t="s">
        <v>12</v>
      </c>
      <c r="G589" t="str">
        <f t="shared" si="28"/>
        <v>Campaign</v>
      </c>
      <c r="H589">
        <v>5</v>
      </c>
      <c r="I589" s="4">
        <v>0.3</v>
      </c>
      <c r="J589">
        <v>614.80999999999995</v>
      </c>
      <c r="K589" s="6">
        <v>-6.44</v>
      </c>
      <c r="L589" s="8">
        <f t="shared" si="29"/>
        <v>-1.0474780826596836E-2</v>
      </c>
    </row>
    <row r="590" spans="1:12" x14ac:dyDescent="0.2">
      <c r="A590" t="s">
        <v>889</v>
      </c>
      <c r="B590" s="1" t="d">
        <v>2025-02-19</v>
      </c>
      <c r="C590" s="1" t="str">
        <f t="shared" si="27"/>
        <v>February 2025</v>
      </c>
      <c r="D590" t="s">
        <v>22</v>
      </c>
      <c r="E590" t="s">
        <v>106</v>
      </c>
      <c r="F590" t="s">
        <v>1337</v>
      </c>
      <c r="G590" t="str">
        <f t="shared" si="28"/>
        <v>Non-Campaign</v>
      </c>
      <c r="H590">
        <v>1</v>
      </c>
      <c r="I590" s="4">
        <v>0.3</v>
      </c>
      <c r="J590">
        <v>138.38</v>
      </c>
      <c r="K590" s="6">
        <v>42.74</v>
      </c>
      <c r="L590" s="8">
        <f t="shared" si="29"/>
        <v>0.30885966180083829</v>
      </c>
    </row>
    <row r="591" spans="1:12" x14ac:dyDescent="0.2">
      <c r="A591" t="s">
        <v>890</v>
      </c>
      <c r="B591" s="1" t="d">
        <v>2025-03-17</v>
      </c>
      <c r="C591" s="1" t="str">
        <f t="shared" si="27"/>
        <v>March 2025</v>
      </c>
      <c r="D591" t="s">
        <v>653</v>
      </c>
      <c r="E591" t="s">
        <v>38</v>
      </c>
      <c r="F591" t="s">
        <v>30</v>
      </c>
      <c r="G591" t="str">
        <f t="shared" si="28"/>
        <v>Campaign</v>
      </c>
      <c r="H591">
        <v>2</v>
      </c>
      <c r="I591" s="4">
        <v>0.2</v>
      </c>
      <c r="J591">
        <v>751.34</v>
      </c>
      <c r="K591" s="6">
        <v>132.22</v>
      </c>
      <c r="L591" s="8">
        <f t="shared" si="29"/>
        <v>0.17597891766710144</v>
      </c>
    </row>
    <row r="592" spans="1:12" x14ac:dyDescent="0.2">
      <c r="A592" t="s">
        <v>891</v>
      </c>
      <c r="B592" s="1" t="d">
        <v>2024-09-03</v>
      </c>
      <c r="C592" s="1" t="str">
        <f t="shared" si="27"/>
        <v>September 2024</v>
      </c>
      <c r="D592" t="s">
        <v>37</v>
      </c>
      <c r="E592" t="s">
        <v>119</v>
      </c>
      <c r="F592" t="s">
        <v>16</v>
      </c>
      <c r="G592" t="str">
        <f t="shared" si="28"/>
        <v>Campaign</v>
      </c>
      <c r="H592">
        <v>4</v>
      </c>
      <c r="I592" s="4">
        <v>0.2</v>
      </c>
      <c r="J592">
        <v>400.86</v>
      </c>
      <c r="K592" s="6">
        <v>0.5</v>
      </c>
      <c r="L592" s="8">
        <f t="shared" si="29"/>
        <v>1.2473182657286833E-3</v>
      </c>
    </row>
    <row r="593" spans="1:12" x14ac:dyDescent="0.2">
      <c r="A593" t="s">
        <v>892</v>
      </c>
      <c r="B593" s="1" t="d">
        <v>2025-06-16</v>
      </c>
      <c r="C593" s="1" t="str">
        <f t="shared" si="27"/>
        <v>June 2025</v>
      </c>
      <c r="D593" t="s">
        <v>28</v>
      </c>
      <c r="E593" t="s">
        <v>177</v>
      </c>
      <c r="F593" t="s">
        <v>20</v>
      </c>
      <c r="G593" t="str">
        <f t="shared" si="28"/>
        <v>Campaign</v>
      </c>
      <c r="H593">
        <v>3</v>
      </c>
      <c r="I593" s="4">
        <v>0.05</v>
      </c>
      <c r="J593">
        <v>320.05</v>
      </c>
      <c r="K593" s="6">
        <v>175.93</v>
      </c>
      <c r="L593" s="8">
        <f t="shared" si="29"/>
        <v>0.54969536009998443</v>
      </c>
    </row>
    <row r="594" spans="1:12" x14ac:dyDescent="0.2">
      <c r="A594" t="s">
        <v>893</v>
      </c>
      <c r="B594" s="1" t="d">
        <v>2025-01-06</v>
      </c>
      <c r="C594" s="1" t="str">
        <f t="shared" si="27"/>
        <v>January 2025</v>
      </c>
      <c r="D594" t="s">
        <v>475</v>
      </c>
      <c r="E594" t="s">
        <v>96</v>
      </c>
      <c r="F594" t="s">
        <v>1337</v>
      </c>
      <c r="G594" t="str">
        <f t="shared" si="28"/>
        <v>Non-Campaign</v>
      </c>
      <c r="H594">
        <v>3</v>
      </c>
      <c r="I594" s="4">
        <v>0.1</v>
      </c>
      <c r="J594">
        <v>139.78</v>
      </c>
      <c r="K594" s="6">
        <v>20.92</v>
      </c>
      <c r="L594" s="8">
        <f t="shared" si="29"/>
        <v>0.14966375733295179</v>
      </c>
    </row>
    <row r="595" spans="1:12" x14ac:dyDescent="0.2">
      <c r="A595" t="s">
        <v>894</v>
      </c>
      <c r="B595" s="1" t="d">
        <v>2025-02-13</v>
      </c>
      <c r="C595" s="1" t="str">
        <f t="shared" si="27"/>
        <v>February 2025</v>
      </c>
      <c r="D595" t="s">
        <v>768</v>
      </c>
      <c r="E595" t="s">
        <v>15</v>
      </c>
      <c r="F595" t="s">
        <v>1337</v>
      </c>
      <c r="G595" t="str">
        <f t="shared" si="28"/>
        <v>Non-Campaign</v>
      </c>
      <c r="H595">
        <v>5</v>
      </c>
      <c r="I595" s="4">
        <v>0.3</v>
      </c>
      <c r="J595">
        <v>1423.76</v>
      </c>
      <c r="K595" s="6">
        <v>42.21</v>
      </c>
      <c r="L595" s="8">
        <f t="shared" si="29"/>
        <v>2.964685059279654E-2</v>
      </c>
    </row>
    <row r="596" spans="1:12" x14ac:dyDescent="0.2">
      <c r="A596" t="s">
        <v>895</v>
      </c>
      <c r="B596" s="1" t="d">
        <v>2025-05-12</v>
      </c>
      <c r="C596" s="1" t="str">
        <f t="shared" si="27"/>
        <v>May 2025</v>
      </c>
      <c r="D596" t="s">
        <v>183</v>
      </c>
      <c r="E596" t="s">
        <v>23</v>
      </c>
      <c r="F596" t="s">
        <v>1337</v>
      </c>
      <c r="G596" t="str">
        <f t="shared" si="28"/>
        <v>Non-Campaign</v>
      </c>
      <c r="H596">
        <v>4</v>
      </c>
      <c r="I596" s="4">
        <v>0.05</v>
      </c>
      <c r="J596">
        <v>997.77</v>
      </c>
      <c r="K596" s="6">
        <v>566.49</v>
      </c>
      <c r="L596" s="8">
        <f t="shared" si="29"/>
        <v>0.56775609609429034</v>
      </c>
    </row>
    <row r="597" spans="1:12" x14ac:dyDescent="0.2">
      <c r="A597" t="s">
        <v>896</v>
      </c>
      <c r="B597" s="1" t="d">
        <v>2024-10-03</v>
      </c>
      <c r="C597" s="1" t="str">
        <f t="shared" si="27"/>
        <v>October 2024</v>
      </c>
      <c r="D597" t="s">
        <v>214</v>
      </c>
      <c r="E597" t="s">
        <v>58</v>
      </c>
      <c r="F597" t="s">
        <v>1337</v>
      </c>
      <c r="G597" t="str">
        <f t="shared" si="28"/>
        <v>Non-Campaign</v>
      </c>
      <c r="H597">
        <v>4</v>
      </c>
      <c r="I597" s="4">
        <v>0</v>
      </c>
      <c r="J597">
        <v>276.8</v>
      </c>
      <c r="K597" s="6">
        <v>84.08</v>
      </c>
      <c r="L597" s="8">
        <f t="shared" si="29"/>
        <v>0.30375722543352601</v>
      </c>
    </row>
    <row r="598" spans="1:12" x14ac:dyDescent="0.2">
      <c r="A598" t="s">
        <v>897</v>
      </c>
      <c r="B598" s="1" t="d">
        <v>2024-10-05</v>
      </c>
      <c r="C598" s="1" t="str">
        <f t="shared" si="27"/>
        <v>October 2024</v>
      </c>
      <c r="D598" t="s">
        <v>898</v>
      </c>
      <c r="E598" t="s">
        <v>72</v>
      </c>
      <c r="F598" t="s">
        <v>109</v>
      </c>
      <c r="G598" t="str">
        <f t="shared" si="28"/>
        <v>Campaign</v>
      </c>
      <c r="H598">
        <v>1</v>
      </c>
      <c r="I598" s="4">
        <v>0.2</v>
      </c>
      <c r="J598">
        <v>51.62</v>
      </c>
      <c r="K598" s="6">
        <v>23.32</v>
      </c>
      <c r="L598" s="8">
        <f t="shared" si="29"/>
        <v>0.451762882603642</v>
      </c>
    </row>
    <row r="599" spans="1:12" x14ac:dyDescent="0.2">
      <c r="A599" t="s">
        <v>899</v>
      </c>
      <c r="B599" s="1" t="d">
        <v>2025-05-30</v>
      </c>
      <c r="C599" s="1" t="str">
        <f t="shared" si="27"/>
        <v>May 2025</v>
      </c>
      <c r="D599" t="s">
        <v>733</v>
      </c>
      <c r="E599" t="s">
        <v>38</v>
      </c>
      <c r="F599" t="s">
        <v>1337</v>
      </c>
      <c r="G599" t="str">
        <f t="shared" si="28"/>
        <v>Non-Campaign</v>
      </c>
      <c r="H599">
        <v>4</v>
      </c>
      <c r="I599" s="4">
        <v>0</v>
      </c>
      <c r="J599">
        <v>1878.36</v>
      </c>
      <c r="K599" s="6">
        <v>640.12</v>
      </c>
      <c r="L599" s="8">
        <f t="shared" si="29"/>
        <v>0.34078664366788053</v>
      </c>
    </row>
    <row r="600" spans="1:12" x14ac:dyDescent="0.2">
      <c r="A600" t="s">
        <v>900</v>
      </c>
      <c r="B600" s="1" t="d">
        <v>2025-03-09</v>
      </c>
      <c r="C600" s="1" t="str">
        <f t="shared" si="27"/>
        <v>March 2025</v>
      </c>
      <c r="D600" t="s">
        <v>79</v>
      </c>
      <c r="E600" t="s">
        <v>135</v>
      </c>
      <c r="F600" t="s">
        <v>30</v>
      </c>
      <c r="G600" t="str">
        <f t="shared" si="28"/>
        <v>Campaign</v>
      </c>
      <c r="H600">
        <v>3</v>
      </c>
      <c r="I600" s="4">
        <v>0.2</v>
      </c>
      <c r="J600">
        <v>487.63</v>
      </c>
      <c r="K600" s="6">
        <v>0.94</v>
      </c>
      <c r="L600" s="8">
        <f t="shared" si="29"/>
        <v>1.9276910772511944E-3</v>
      </c>
    </row>
    <row r="601" spans="1:12" x14ac:dyDescent="0.2">
      <c r="A601" t="s">
        <v>901</v>
      </c>
      <c r="B601" s="1" t="d">
        <v>2025-05-29</v>
      </c>
      <c r="C601" s="1" t="str">
        <f t="shared" si="27"/>
        <v>May 2025</v>
      </c>
      <c r="D601" t="s">
        <v>497</v>
      </c>
      <c r="E601" t="s">
        <v>23</v>
      </c>
      <c r="F601" t="s">
        <v>16</v>
      </c>
      <c r="G601" t="str">
        <f t="shared" si="28"/>
        <v>Campaign</v>
      </c>
      <c r="H601">
        <v>5</v>
      </c>
      <c r="I601" s="4">
        <v>0.2</v>
      </c>
      <c r="J601">
        <v>1050.28</v>
      </c>
      <c r="K601" s="6">
        <v>511.18</v>
      </c>
      <c r="L601" s="8">
        <f t="shared" si="29"/>
        <v>0.48670830635640022</v>
      </c>
    </row>
    <row r="602" spans="1:12" x14ac:dyDescent="0.2">
      <c r="A602" t="s">
        <v>902</v>
      </c>
      <c r="B602" s="1" t="d">
        <v>2024-11-24</v>
      </c>
      <c r="C602" s="1" t="str">
        <f t="shared" si="27"/>
        <v>November 2024</v>
      </c>
      <c r="D602" t="s">
        <v>428</v>
      </c>
      <c r="E602" t="s">
        <v>41</v>
      </c>
      <c r="F602" t="s">
        <v>20</v>
      </c>
      <c r="G602" t="str">
        <f t="shared" si="28"/>
        <v>Campaign</v>
      </c>
      <c r="H602">
        <v>2</v>
      </c>
      <c r="I602" s="4">
        <v>0.3</v>
      </c>
      <c r="J602">
        <v>580.26</v>
      </c>
      <c r="K602" s="6">
        <v>-18.239999999999998</v>
      </c>
      <c r="L602" s="8">
        <f t="shared" si="29"/>
        <v>-3.1434184675834968E-2</v>
      </c>
    </row>
    <row r="603" spans="1:12" x14ac:dyDescent="0.2">
      <c r="A603" t="s">
        <v>903</v>
      </c>
      <c r="B603" s="1" t="d">
        <v>2024-08-31</v>
      </c>
      <c r="C603" s="1" t="str">
        <f t="shared" si="27"/>
        <v>August 2024</v>
      </c>
      <c r="D603" t="s">
        <v>475</v>
      </c>
      <c r="E603" t="s">
        <v>65</v>
      </c>
      <c r="F603" t="s">
        <v>1337</v>
      </c>
      <c r="G603" t="str">
        <f t="shared" si="28"/>
        <v>Non-Campaign</v>
      </c>
      <c r="H603">
        <v>1</v>
      </c>
      <c r="I603" s="4">
        <v>0.05</v>
      </c>
      <c r="J603">
        <v>91.95</v>
      </c>
      <c r="K603" s="6">
        <v>26.89</v>
      </c>
      <c r="L603" s="8">
        <f t="shared" si="29"/>
        <v>0.29244154431756392</v>
      </c>
    </row>
    <row r="604" spans="1:12" x14ac:dyDescent="0.2">
      <c r="A604" t="s">
        <v>904</v>
      </c>
      <c r="B604" s="1" t="d">
        <v>2024-09-08</v>
      </c>
      <c r="C604" s="1" t="str">
        <f t="shared" si="27"/>
        <v>September 2024</v>
      </c>
      <c r="D604" t="s">
        <v>308</v>
      </c>
      <c r="E604" t="s">
        <v>130</v>
      </c>
      <c r="F604" t="s">
        <v>1337</v>
      </c>
      <c r="G604" t="str">
        <f t="shared" si="28"/>
        <v>Non-Campaign</v>
      </c>
      <c r="H604">
        <v>1</v>
      </c>
      <c r="I604" s="4">
        <v>0.3</v>
      </c>
      <c r="J604">
        <v>267.95</v>
      </c>
      <c r="K604" s="6">
        <v>-17.010000000000002</v>
      </c>
      <c r="L604" s="8">
        <f t="shared" si="29"/>
        <v>-6.3481992909124846E-2</v>
      </c>
    </row>
    <row r="605" spans="1:12" x14ac:dyDescent="0.2">
      <c r="A605" t="s">
        <v>905</v>
      </c>
      <c r="B605" s="1" t="d">
        <v>2025-05-20</v>
      </c>
      <c r="C605" s="1" t="str">
        <f t="shared" si="27"/>
        <v>May 2025</v>
      </c>
      <c r="D605" t="s">
        <v>95</v>
      </c>
      <c r="E605" t="s">
        <v>29</v>
      </c>
      <c r="F605" t="s">
        <v>1337</v>
      </c>
      <c r="G605" t="str">
        <f t="shared" si="28"/>
        <v>Non-Campaign</v>
      </c>
      <c r="H605">
        <v>3</v>
      </c>
      <c r="I605" s="4">
        <v>0</v>
      </c>
      <c r="J605">
        <v>1127.82</v>
      </c>
      <c r="K605" s="6">
        <v>566.22</v>
      </c>
      <c r="L605" s="8">
        <f t="shared" si="29"/>
        <v>0.50204819918072041</v>
      </c>
    </row>
    <row r="606" spans="1:12" x14ac:dyDescent="0.2">
      <c r="A606" t="s">
        <v>906</v>
      </c>
      <c r="B606" s="1" t="d">
        <v>2024-06-30</v>
      </c>
      <c r="C606" s="1" t="str">
        <f t="shared" si="27"/>
        <v>June 2024</v>
      </c>
      <c r="D606" t="s">
        <v>572</v>
      </c>
      <c r="E606" t="s">
        <v>26</v>
      </c>
      <c r="F606" t="s">
        <v>12</v>
      </c>
      <c r="G606" t="str">
        <f t="shared" si="28"/>
        <v>Campaign</v>
      </c>
      <c r="H606">
        <v>2</v>
      </c>
      <c r="I606" s="4">
        <v>0.1</v>
      </c>
      <c r="J606">
        <v>400.54</v>
      </c>
      <c r="K606" s="6">
        <v>217.22</v>
      </c>
      <c r="L606" s="8">
        <f t="shared" si="29"/>
        <v>0.5423178708743196</v>
      </c>
    </row>
    <row r="607" spans="1:12" x14ac:dyDescent="0.2">
      <c r="A607" t="s">
        <v>907</v>
      </c>
      <c r="B607" s="1" t="d">
        <v>2024-11-01</v>
      </c>
      <c r="C607" s="1" t="str">
        <f t="shared" si="27"/>
        <v>November 2024</v>
      </c>
      <c r="D607" t="s">
        <v>834</v>
      </c>
      <c r="E607" t="s">
        <v>26</v>
      </c>
      <c r="F607" t="s">
        <v>30</v>
      </c>
      <c r="G607" t="str">
        <f t="shared" si="28"/>
        <v>Campaign</v>
      </c>
      <c r="H607">
        <v>3</v>
      </c>
      <c r="I607" s="4">
        <v>0.15</v>
      </c>
      <c r="J607">
        <v>567.42999999999995</v>
      </c>
      <c r="K607" s="6">
        <v>292.45</v>
      </c>
      <c r="L607" s="8">
        <f t="shared" si="29"/>
        <v>0.515393969300178</v>
      </c>
    </row>
    <row r="608" spans="1:12" x14ac:dyDescent="0.2">
      <c r="A608" t="s">
        <v>908</v>
      </c>
      <c r="B608" s="1" t="d">
        <v>2024-10-06</v>
      </c>
      <c r="C608" s="1" t="str">
        <f t="shared" si="27"/>
        <v>October 2024</v>
      </c>
      <c r="D608" t="s">
        <v>651</v>
      </c>
      <c r="E608" t="s">
        <v>11</v>
      </c>
      <c r="F608" t="s">
        <v>1337</v>
      </c>
      <c r="G608" t="str">
        <f t="shared" si="28"/>
        <v>Non-Campaign</v>
      </c>
      <c r="H608">
        <v>4</v>
      </c>
      <c r="I608" s="4">
        <v>0.1</v>
      </c>
      <c r="J608">
        <v>728.86</v>
      </c>
      <c r="K608" s="6">
        <v>258.06</v>
      </c>
      <c r="L608" s="8">
        <f t="shared" si="29"/>
        <v>0.35405976456383942</v>
      </c>
    </row>
    <row r="609" spans="1:12" x14ac:dyDescent="0.2">
      <c r="A609" t="s">
        <v>909</v>
      </c>
      <c r="B609" s="1" t="d">
        <v>2025-05-02</v>
      </c>
      <c r="C609" s="1" t="str">
        <f t="shared" si="27"/>
        <v>May 2025</v>
      </c>
      <c r="D609" t="s">
        <v>43</v>
      </c>
      <c r="E609" t="s">
        <v>177</v>
      </c>
      <c r="F609" t="s">
        <v>20</v>
      </c>
      <c r="G609" t="str">
        <f t="shared" si="28"/>
        <v>Campaign</v>
      </c>
      <c r="H609">
        <v>5</v>
      </c>
      <c r="I609" s="4">
        <v>0</v>
      </c>
      <c r="J609">
        <v>561.5</v>
      </c>
      <c r="K609" s="6">
        <v>321.3</v>
      </c>
      <c r="L609" s="8">
        <f t="shared" si="29"/>
        <v>0.57221727515583265</v>
      </c>
    </row>
    <row r="610" spans="1:12" x14ac:dyDescent="0.2">
      <c r="A610" t="s">
        <v>910</v>
      </c>
      <c r="B610" s="1" t="d">
        <v>2024-08-31</v>
      </c>
      <c r="C610" s="1" t="str">
        <f t="shared" si="27"/>
        <v>August 2024</v>
      </c>
      <c r="D610" t="s">
        <v>55</v>
      </c>
      <c r="E610" t="s">
        <v>47</v>
      </c>
      <c r="F610" t="s">
        <v>12</v>
      </c>
      <c r="G610" t="str">
        <f t="shared" si="28"/>
        <v>Campaign</v>
      </c>
      <c r="H610">
        <v>1</v>
      </c>
      <c r="I610" s="4">
        <v>0.1</v>
      </c>
      <c r="J610">
        <v>270.54000000000002</v>
      </c>
      <c r="K610" s="6">
        <v>42.35</v>
      </c>
      <c r="L610" s="8">
        <f t="shared" si="29"/>
        <v>0.15653877430324536</v>
      </c>
    </row>
    <row r="611" spans="1:12" x14ac:dyDescent="0.2">
      <c r="A611" t="s">
        <v>911</v>
      </c>
      <c r="B611" s="1" t="d">
        <v>2024-11-11</v>
      </c>
      <c r="C611" s="1" t="str">
        <f t="shared" si="27"/>
        <v>November 2024</v>
      </c>
      <c r="D611" t="s">
        <v>137</v>
      </c>
      <c r="E611" t="s">
        <v>23</v>
      </c>
      <c r="F611" t="s">
        <v>109</v>
      </c>
      <c r="G611" t="str">
        <f t="shared" si="28"/>
        <v>Campaign</v>
      </c>
      <c r="H611">
        <v>3</v>
      </c>
      <c r="I611" s="4">
        <v>0.2</v>
      </c>
      <c r="J611">
        <v>630.16999999999996</v>
      </c>
      <c r="K611" s="6">
        <v>306.70999999999998</v>
      </c>
      <c r="L611" s="8">
        <f t="shared" si="29"/>
        <v>0.48670993541425328</v>
      </c>
    </row>
    <row r="612" spans="1:12" x14ac:dyDescent="0.2">
      <c r="A612" t="s">
        <v>912</v>
      </c>
      <c r="B612" s="1" t="d">
        <v>2024-08-28</v>
      </c>
      <c r="C612" s="1" t="str">
        <f t="shared" si="27"/>
        <v>August 2024</v>
      </c>
      <c r="D612" t="s">
        <v>572</v>
      </c>
      <c r="E612" t="s">
        <v>80</v>
      </c>
      <c r="F612" t="s">
        <v>1337</v>
      </c>
      <c r="G612" t="str">
        <f t="shared" si="28"/>
        <v>Non-Campaign</v>
      </c>
      <c r="H612">
        <v>4</v>
      </c>
      <c r="I612" s="4">
        <v>0.15</v>
      </c>
      <c r="J612">
        <v>499.7</v>
      </c>
      <c r="K612" s="6">
        <v>254.34</v>
      </c>
      <c r="L612" s="8">
        <f t="shared" si="29"/>
        <v>0.50898539123474085</v>
      </c>
    </row>
    <row r="613" spans="1:12" x14ac:dyDescent="0.2">
      <c r="A613" t="s">
        <v>913</v>
      </c>
      <c r="B613" s="1" t="d">
        <v>2024-07-01</v>
      </c>
      <c r="C613" s="1" t="str">
        <f t="shared" si="27"/>
        <v>July 2024</v>
      </c>
      <c r="D613" t="s">
        <v>626</v>
      </c>
      <c r="E613" t="s">
        <v>106</v>
      </c>
      <c r="F613" t="s">
        <v>16</v>
      </c>
      <c r="G613" t="str">
        <f t="shared" si="28"/>
        <v>Campaign</v>
      </c>
      <c r="H613">
        <v>5</v>
      </c>
      <c r="I613" s="4">
        <v>0.05</v>
      </c>
      <c r="J613">
        <v>939.03</v>
      </c>
      <c r="K613" s="6">
        <v>460.83</v>
      </c>
      <c r="L613" s="8">
        <f t="shared" si="29"/>
        <v>0.49075109421424234</v>
      </c>
    </row>
    <row r="614" spans="1:12" x14ac:dyDescent="0.2">
      <c r="A614" t="s">
        <v>914</v>
      </c>
      <c r="B614" s="1" t="d">
        <v>2024-08-15</v>
      </c>
      <c r="C614" s="1" t="str">
        <f t="shared" si="27"/>
        <v>August 2024</v>
      </c>
      <c r="D614" t="s">
        <v>113</v>
      </c>
      <c r="E614" t="s">
        <v>85</v>
      </c>
      <c r="F614" t="s">
        <v>1337</v>
      </c>
      <c r="G614" t="str">
        <f t="shared" si="28"/>
        <v>Non-Campaign</v>
      </c>
      <c r="H614">
        <v>5</v>
      </c>
      <c r="I614" s="4">
        <v>0.1</v>
      </c>
      <c r="J614">
        <v>662.13</v>
      </c>
      <c r="K614" s="6">
        <v>295.27999999999997</v>
      </c>
      <c r="L614" s="8">
        <f t="shared" si="29"/>
        <v>0.44595472188240975</v>
      </c>
    </row>
    <row r="615" spans="1:12" x14ac:dyDescent="0.2">
      <c r="A615" t="s">
        <v>915</v>
      </c>
      <c r="B615" s="1" t="d">
        <v>2025-04-19</v>
      </c>
      <c r="C615" s="1" t="str">
        <f t="shared" si="27"/>
        <v>April 2025</v>
      </c>
      <c r="D615" t="s">
        <v>332</v>
      </c>
      <c r="E615" t="s">
        <v>80</v>
      </c>
      <c r="F615" t="s">
        <v>1337</v>
      </c>
      <c r="G615" t="str">
        <f t="shared" si="28"/>
        <v>Non-Campaign</v>
      </c>
      <c r="H615">
        <v>1</v>
      </c>
      <c r="I615" s="4">
        <v>0.2</v>
      </c>
      <c r="J615">
        <v>117.58</v>
      </c>
      <c r="K615" s="6">
        <v>56.24</v>
      </c>
      <c r="L615" s="8">
        <f t="shared" si="29"/>
        <v>0.47831263820377617</v>
      </c>
    </row>
    <row r="616" spans="1:12" x14ac:dyDescent="0.2">
      <c r="A616" t="s">
        <v>916</v>
      </c>
      <c r="B616" s="1" t="d">
        <v>2025-04-16</v>
      </c>
      <c r="C616" s="1" t="str">
        <f t="shared" si="27"/>
        <v>April 2025</v>
      </c>
      <c r="D616" t="s">
        <v>917</v>
      </c>
      <c r="E616" t="s">
        <v>193</v>
      </c>
      <c r="F616" t="s">
        <v>20</v>
      </c>
      <c r="G616" t="str">
        <f t="shared" si="28"/>
        <v>Campaign</v>
      </c>
      <c r="H616">
        <v>1</v>
      </c>
      <c r="I616" s="4">
        <v>0</v>
      </c>
      <c r="J616">
        <v>331.94</v>
      </c>
      <c r="K616" s="6">
        <v>126.81</v>
      </c>
      <c r="L616" s="8">
        <f t="shared" si="29"/>
        <v>0.38202687232632404</v>
      </c>
    </row>
    <row r="617" spans="1:12" x14ac:dyDescent="0.2">
      <c r="A617" t="s">
        <v>918</v>
      </c>
      <c r="B617" s="1" t="d">
        <v>2024-07-11</v>
      </c>
      <c r="C617" s="1" t="str">
        <f t="shared" si="27"/>
        <v>July 2024</v>
      </c>
      <c r="D617" t="s">
        <v>230</v>
      </c>
      <c r="E617" t="s">
        <v>75</v>
      </c>
      <c r="F617" t="s">
        <v>1337</v>
      </c>
      <c r="G617" t="str">
        <f t="shared" si="28"/>
        <v>Non-Campaign</v>
      </c>
      <c r="H617">
        <v>5</v>
      </c>
      <c r="I617" s="4">
        <v>0.2</v>
      </c>
      <c r="J617">
        <v>702.64</v>
      </c>
      <c r="K617" s="6">
        <v>81.39</v>
      </c>
      <c r="L617" s="8">
        <f t="shared" si="29"/>
        <v>0.11583456677672778</v>
      </c>
    </row>
    <row r="618" spans="1:12" x14ac:dyDescent="0.2">
      <c r="A618" t="s">
        <v>919</v>
      </c>
      <c r="B618" s="1" t="d">
        <v>2024-11-14</v>
      </c>
      <c r="C618" s="1" t="str">
        <f t="shared" si="27"/>
        <v>November 2024</v>
      </c>
      <c r="D618" t="s">
        <v>483</v>
      </c>
      <c r="E618" t="s">
        <v>80</v>
      </c>
      <c r="F618" t="s">
        <v>30</v>
      </c>
      <c r="G618" t="str">
        <f t="shared" si="28"/>
        <v>Campaign</v>
      </c>
      <c r="H618">
        <v>3</v>
      </c>
      <c r="I618" s="4">
        <v>0.05</v>
      </c>
      <c r="J618">
        <v>418.86</v>
      </c>
      <c r="K618" s="6">
        <v>234.84</v>
      </c>
      <c r="L618" s="8">
        <f t="shared" si="29"/>
        <v>0.56066466122332048</v>
      </c>
    </row>
    <row r="619" spans="1:12" x14ac:dyDescent="0.2">
      <c r="A619" t="s">
        <v>920</v>
      </c>
      <c r="B619" s="1" t="d">
        <v>2024-12-08</v>
      </c>
      <c r="C619" s="1" t="str">
        <f t="shared" si="27"/>
        <v>December 2024</v>
      </c>
      <c r="D619" t="s">
        <v>334</v>
      </c>
      <c r="E619" t="s">
        <v>135</v>
      </c>
      <c r="F619" t="s">
        <v>16</v>
      </c>
      <c r="G619" t="str">
        <f t="shared" si="28"/>
        <v>Campaign</v>
      </c>
      <c r="H619">
        <v>2</v>
      </c>
      <c r="I619" s="4">
        <v>0.05</v>
      </c>
      <c r="J619">
        <v>386.04</v>
      </c>
      <c r="K619" s="6">
        <v>61.58</v>
      </c>
      <c r="L619" s="8">
        <f t="shared" si="29"/>
        <v>0.15951714848202259</v>
      </c>
    </row>
    <row r="620" spans="1:12" x14ac:dyDescent="0.2">
      <c r="A620" t="s">
        <v>921</v>
      </c>
      <c r="B620" s="1" t="d">
        <v>2024-12-19</v>
      </c>
      <c r="C620" s="1" t="str">
        <f t="shared" si="27"/>
        <v>December 2024</v>
      </c>
      <c r="D620" t="s">
        <v>674</v>
      </c>
      <c r="E620" t="s">
        <v>75</v>
      </c>
      <c r="F620" t="s">
        <v>109</v>
      </c>
      <c r="G620" t="str">
        <f t="shared" si="28"/>
        <v>Campaign</v>
      </c>
      <c r="H620">
        <v>2</v>
      </c>
      <c r="I620" s="4">
        <v>0</v>
      </c>
      <c r="J620">
        <v>351.32</v>
      </c>
      <c r="K620" s="6">
        <v>102.82</v>
      </c>
      <c r="L620" s="8">
        <f t="shared" si="29"/>
        <v>0.29266765342138218</v>
      </c>
    </row>
    <row r="621" spans="1:12" x14ac:dyDescent="0.2">
      <c r="A621" t="s">
        <v>922</v>
      </c>
      <c r="B621" s="1" t="d">
        <v>2024-10-14</v>
      </c>
      <c r="C621" s="1" t="str">
        <f t="shared" si="27"/>
        <v>October 2024</v>
      </c>
      <c r="D621" t="s">
        <v>437</v>
      </c>
      <c r="E621" t="s">
        <v>96</v>
      </c>
      <c r="F621" t="s">
        <v>12</v>
      </c>
      <c r="G621" t="str">
        <f t="shared" si="28"/>
        <v>Campaign</v>
      </c>
      <c r="H621">
        <v>5</v>
      </c>
      <c r="I621" s="4">
        <v>0.15</v>
      </c>
      <c r="J621">
        <v>220.02</v>
      </c>
      <c r="K621" s="6">
        <v>21.92</v>
      </c>
      <c r="L621" s="8">
        <f t="shared" si="29"/>
        <v>9.9627306608490146E-2</v>
      </c>
    </row>
    <row r="622" spans="1:12" x14ac:dyDescent="0.2">
      <c r="A622" t="s">
        <v>923</v>
      </c>
      <c r="B622" s="1" t="d">
        <v>2024-08-09</v>
      </c>
      <c r="C622" s="1" t="str">
        <f t="shared" si="27"/>
        <v>August 2024</v>
      </c>
      <c r="D622" t="s">
        <v>628</v>
      </c>
      <c r="E622" t="s">
        <v>26</v>
      </c>
      <c r="F622" t="s">
        <v>109</v>
      </c>
      <c r="G622" t="str">
        <f t="shared" si="28"/>
        <v>Campaign</v>
      </c>
      <c r="H622">
        <v>1</v>
      </c>
      <c r="I622" s="4">
        <v>0.1</v>
      </c>
      <c r="J622">
        <v>200.27</v>
      </c>
      <c r="K622" s="6">
        <v>108.61</v>
      </c>
      <c r="L622" s="8">
        <f t="shared" si="29"/>
        <v>0.5423178708743196</v>
      </c>
    </row>
    <row r="623" spans="1:12" x14ac:dyDescent="0.2">
      <c r="A623" t="s">
        <v>924</v>
      </c>
      <c r="B623" s="1" t="d">
        <v>2025-06-30</v>
      </c>
      <c r="C623" s="1" t="str">
        <f t="shared" si="27"/>
        <v>June 2025</v>
      </c>
      <c r="D623" t="s">
        <v>925</v>
      </c>
      <c r="E623" t="s">
        <v>15</v>
      </c>
      <c r="F623" t="s">
        <v>1337</v>
      </c>
      <c r="G623" t="str">
        <f t="shared" si="28"/>
        <v>Non-Campaign</v>
      </c>
      <c r="H623">
        <v>3</v>
      </c>
      <c r="I623" s="4">
        <v>0.1</v>
      </c>
      <c r="J623">
        <v>1098.33</v>
      </c>
      <c r="K623" s="6">
        <v>269.39999999999998</v>
      </c>
      <c r="L623" s="8">
        <f t="shared" si="29"/>
        <v>0.2452814727814045</v>
      </c>
    </row>
    <row r="624" spans="1:12" x14ac:dyDescent="0.2">
      <c r="A624" t="s">
        <v>926</v>
      </c>
      <c r="B624" s="1" t="d">
        <v>2025-01-01</v>
      </c>
      <c r="C624" s="1" t="str">
        <f t="shared" si="27"/>
        <v>January 2025</v>
      </c>
      <c r="D624" t="s">
        <v>134</v>
      </c>
      <c r="E624" t="s">
        <v>96</v>
      </c>
      <c r="F624" t="s">
        <v>30</v>
      </c>
      <c r="G624" t="str">
        <f t="shared" si="28"/>
        <v>Campaign</v>
      </c>
      <c r="H624">
        <v>1</v>
      </c>
      <c r="I624" s="4">
        <v>0.1</v>
      </c>
      <c r="J624">
        <v>46.59</v>
      </c>
      <c r="K624" s="6">
        <v>6.97</v>
      </c>
      <c r="L624" s="8">
        <f t="shared" si="29"/>
        <v>0.1496029190813479</v>
      </c>
    </row>
    <row r="625" spans="1:12" x14ac:dyDescent="0.2">
      <c r="A625" t="s">
        <v>927</v>
      </c>
      <c r="B625" s="1" t="d">
        <v>2024-09-27</v>
      </c>
      <c r="C625" s="1" t="str">
        <f t="shared" si="27"/>
        <v>September 2024</v>
      </c>
      <c r="D625" t="s">
        <v>301</v>
      </c>
      <c r="E625" t="s">
        <v>135</v>
      </c>
      <c r="F625" t="s">
        <v>30</v>
      </c>
      <c r="G625" t="str">
        <f t="shared" si="28"/>
        <v>Campaign</v>
      </c>
      <c r="H625">
        <v>3</v>
      </c>
      <c r="I625" s="4">
        <v>0.15</v>
      </c>
      <c r="J625">
        <v>518.11</v>
      </c>
      <c r="K625" s="6">
        <v>31.42</v>
      </c>
      <c r="L625" s="8">
        <f t="shared" si="29"/>
        <v>6.0643492694601536E-2</v>
      </c>
    </row>
    <row r="626" spans="1:12" x14ac:dyDescent="0.2">
      <c r="A626" t="s">
        <v>928</v>
      </c>
      <c r="B626" s="1" t="d">
        <v>2025-01-15</v>
      </c>
      <c r="C626" s="1" t="str">
        <f t="shared" si="27"/>
        <v>January 2025</v>
      </c>
      <c r="D626" t="s">
        <v>473</v>
      </c>
      <c r="E626" t="s">
        <v>165</v>
      </c>
      <c r="F626" t="s">
        <v>109</v>
      </c>
      <c r="G626" t="str">
        <f t="shared" si="28"/>
        <v>Campaign</v>
      </c>
      <c r="H626">
        <v>5</v>
      </c>
      <c r="I626" s="4">
        <v>0.05</v>
      </c>
      <c r="J626">
        <v>379.62</v>
      </c>
      <c r="K626" s="6">
        <v>72.37</v>
      </c>
      <c r="L626" s="8">
        <f t="shared" si="29"/>
        <v>0.19063800642748013</v>
      </c>
    </row>
    <row r="627" spans="1:12" x14ac:dyDescent="0.2">
      <c r="A627" t="s">
        <v>929</v>
      </c>
      <c r="B627" s="1" t="d">
        <v>2025-04-07</v>
      </c>
      <c r="C627" s="1" t="str">
        <f t="shared" si="27"/>
        <v>April 2025</v>
      </c>
      <c r="D627" t="s">
        <v>930</v>
      </c>
      <c r="E627" t="s">
        <v>148</v>
      </c>
      <c r="F627" t="s">
        <v>1337</v>
      </c>
      <c r="G627" t="str">
        <f t="shared" si="28"/>
        <v>Non-Campaign</v>
      </c>
      <c r="H627">
        <v>3</v>
      </c>
      <c r="I627" s="4">
        <v>0.15</v>
      </c>
      <c r="J627">
        <v>1262.17</v>
      </c>
      <c r="K627" s="6">
        <v>288.07</v>
      </c>
      <c r="L627" s="8">
        <f t="shared" si="29"/>
        <v>0.22823391460738252</v>
      </c>
    </row>
    <row r="628" spans="1:12" x14ac:dyDescent="0.2">
      <c r="A628" t="s">
        <v>931</v>
      </c>
      <c r="B628" s="1" t="d">
        <v>2024-09-16</v>
      </c>
      <c r="C628" s="1" t="str">
        <f t="shared" si="27"/>
        <v>September 2024</v>
      </c>
      <c r="D628" t="s">
        <v>147</v>
      </c>
      <c r="E628" t="s">
        <v>29</v>
      </c>
      <c r="F628" t="s">
        <v>1337</v>
      </c>
      <c r="G628" t="str">
        <f t="shared" si="28"/>
        <v>Non-Campaign</v>
      </c>
      <c r="H628">
        <v>2</v>
      </c>
      <c r="I628" s="4">
        <v>0.05</v>
      </c>
      <c r="J628">
        <v>714.29</v>
      </c>
      <c r="K628" s="6">
        <v>339.89</v>
      </c>
      <c r="L628" s="8">
        <f t="shared" si="29"/>
        <v>0.47584314494113034</v>
      </c>
    </row>
    <row r="629" spans="1:12" x14ac:dyDescent="0.2">
      <c r="A629" t="s">
        <v>932</v>
      </c>
      <c r="B629" s="1" t="d">
        <v>2025-03-08</v>
      </c>
      <c r="C629" s="1" t="str">
        <f t="shared" si="27"/>
        <v>March 2025</v>
      </c>
      <c r="D629" t="s">
        <v>394</v>
      </c>
      <c r="E629" t="s">
        <v>72</v>
      </c>
      <c r="F629" t="s">
        <v>1337</v>
      </c>
      <c r="G629" t="str">
        <f t="shared" si="28"/>
        <v>Non-Campaign</v>
      </c>
      <c r="H629">
        <v>2</v>
      </c>
      <c r="I629" s="4">
        <v>0.3</v>
      </c>
      <c r="J629">
        <v>90.33</v>
      </c>
      <c r="K629" s="6">
        <v>33.729999999999997</v>
      </c>
      <c r="L629" s="8">
        <f t="shared" si="29"/>
        <v>0.37340861286394328</v>
      </c>
    </row>
    <row r="630" spans="1:12" x14ac:dyDescent="0.2">
      <c r="A630" t="s">
        <v>933</v>
      </c>
      <c r="B630" s="1" t="d">
        <v>2024-11-18</v>
      </c>
      <c r="C630" s="1" t="str">
        <f t="shared" si="27"/>
        <v>November 2024</v>
      </c>
      <c r="D630" t="s">
        <v>634</v>
      </c>
      <c r="E630" t="s">
        <v>135</v>
      </c>
      <c r="F630" t="s">
        <v>1337</v>
      </c>
      <c r="G630" t="str">
        <f t="shared" si="28"/>
        <v>Non-Campaign</v>
      </c>
      <c r="H630">
        <v>4</v>
      </c>
      <c r="I630" s="4">
        <v>0.15</v>
      </c>
      <c r="J630">
        <v>690.81</v>
      </c>
      <c r="K630" s="6">
        <v>41.89</v>
      </c>
      <c r="L630" s="8">
        <f t="shared" si="29"/>
        <v>6.0638960061377228E-2</v>
      </c>
    </row>
    <row r="631" spans="1:12" x14ac:dyDescent="0.2">
      <c r="A631" t="s">
        <v>934</v>
      </c>
      <c r="B631" s="1" t="d">
        <v>2024-07-22</v>
      </c>
      <c r="C631" s="1" t="str">
        <f t="shared" si="27"/>
        <v>July 2024</v>
      </c>
      <c r="D631" t="s">
        <v>349</v>
      </c>
      <c r="E631" t="s">
        <v>47</v>
      </c>
      <c r="F631" t="s">
        <v>109</v>
      </c>
      <c r="G631" t="str">
        <f t="shared" si="28"/>
        <v>Campaign</v>
      </c>
      <c r="H631">
        <v>4</v>
      </c>
      <c r="I631" s="4">
        <v>0.2</v>
      </c>
      <c r="J631">
        <v>961.92</v>
      </c>
      <c r="K631" s="6">
        <v>49.16</v>
      </c>
      <c r="L631" s="8">
        <f t="shared" si="29"/>
        <v>5.1106121091151029E-2</v>
      </c>
    </row>
    <row r="632" spans="1:12" x14ac:dyDescent="0.2">
      <c r="A632" t="s">
        <v>935</v>
      </c>
      <c r="B632" s="1" t="d">
        <v>2025-01-14</v>
      </c>
      <c r="C632" s="1" t="str">
        <f t="shared" si="27"/>
        <v>January 2025</v>
      </c>
      <c r="D632" t="s">
        <v>756</v>
      </c>
      <c r="E632" t="s">
        <v>35</v>
      </c>
      <c r="F632" t="s">
        <v>20</v>
      </c>
      <c r="G632" t="str">
        <f t="shared" si="28"/>
        <v>Campaign</v>
      </c>
      <c r="H632">
        <v>3</v>
      </c>
      <c r="I632" s="4">
        <v>0.05</v>
      </c>
      <c r="J632">
        <v>863.12</v>
      </c>
      <c r="K632" s="6">
        <v>205.55</v>
      </c>
      <c r="L632" s="8">
        <f t="shared" si="29"/>
        <v>0.23814765038465105</v>
      </c>
    </row>
    <row r="633" spans="1:12" x14ac:dyDescent="0.2">
      <c r="A633" t="s">
        <v>936</v>
      </c>
      <c r="B633" s="1" t="d">
        <v>2025-03-10</v>
      </c>
      <c r="C633" s="1" t="str">
        <f t="shared" si="27"/>
        <v>March 2025</v>
      </c>
      <c r="D633" t="s">
        <v>308</v>
      </c>
      <c r="E633" t="s">
        <v>15</v>
      </c>
      <c r="F633" t="s">
        <v>109</v>
      </c>
      <c r="G633" t="str">
        <f t="shared" si="28"/>
        <v>Campaign</v>
      </c>
      <c r="H633">
        <v>1</v>
      </c>
      <c r="I633" s="4">
        <v>0.3</v>
      </c>
      <c r="J633">
        <v>284.75</v>
      </c>
      <c r="K633" s="6">
        <v>8.44</v>
      </c>
      <c r="L633" s="8">
        <f t="shared" si="29"/>
        <v>2.9640035118525022E-2</v>
      </c>
    </row>
    <row r="634" spans="1:12" x14ac:dyDescent="0.2">
      <c r="A634" t="s">
        <v>937</v>
      </c>
      <c r="B634" s="1" t="d">
        <v>2025-04-01</v>
      </c>
      <c r="C634" s="1" t="str">
        <f t="shared" si="27"/>
        <v>April 2025</v>
      </c>
      <c r="D634" t="s">
        <v>519</v>
      </c>
      <c r="E634" t="s">
        <v>135</v>
      </c>
      <c r="F634" t="s">
        <v>12</v>
      </c>
      <c r="G634" t="str">
        <f t="shared" si="28"/>
        <v>Campaign</v>
      </c>
      <c r="H634">
        <v>5</v>
      </c>
      <c r="I634" s="4">
        <v>0.3</v>
      </c>
      <c r="J634">
        <v>711.13</v>
      </c>
      <c r="K634" s="6">
        <v>-100.02</v>
      </c>
      <c r="L634" s="8">
        <f t="shared" si="29"/>
        <v>-0.14064938900060467</v>
      </c>
    </row>
    <row r="635" spans="1:12" x14ac:dyDescent="0.2">
      <c r="A635" t="s">
        <v>938</v>
      </c>
      <c r="B635" s="1" t="d">
        <v>2025-03-20</v>
      </c>
      <c r="C635" s="1" t="str">
        <f t="shared" si="27"/>
        <v>March 2025</v>
      </c>
      <c r="D635" t="s">
        <v>626</v>
      </c>
      <c r="E635" t="s">
        <v>130</v>
      </c>
      <c r="F635" t="s">
        <v>1337</v>
      </c>
      <c r="G635" t="str">
        <f t="shared" si="28"/>
        <v>Non-Campaign</v>
      </c>
      <c r="H635">
        <v>5</v>
      </c>
      <c r="I635" s="4">
        <v>0.05</v>
      </c>
      <c r="J635">
        <v>1818.2</v>
      </c>
      <c r="K635" s="6">
        <v>393.4</v>
      </c>
      <c r="L635" s="8">
        <f t="shared" si="29"/>
        <v>0.21636783632163675</v>
      </c>
    </row>
    <row r="636" spans="1:12" x14ac:dyDescent="0.2">
      <c r="A636" t="s">
        <v>939</v>
      </c>
      <c r="B636" s="1" t="d">
        <v>2025-01-29</v>
      </c>
      <c r="C636" s="1" t="str">
        <f t="shared" si="27"/>
        <v>January 2025</v>
      </c>
      <c r="D636" t="s">
        <v>764</v>
      </c>
      <c r="E636" t="s">
        <v>50</v>
      </c>
      <c r="F636" t="s">
        <v>109</v>
      </c>
      <c r="G636" t="str">
        <f t="shared" si="28"/>
        <v>Campaign</v>
      </c>
      <c r="H636">
        <v>5</v>
      </c>
      <c r="I636" s="4">
        <v>0.2</v>
      </c>
      <c r="J636">
        <v>1479.92</v>
      </c>
      <c r="K636" s="6">
        <v>619.07000000000005</v>
      </c>
      <c r="L636" s="8">
        <f t="shared" si="29"/>
        <v>0.41831315206227365</v>
      </c>
    </row>
    <row r="637" spans="1:12" x14ac:dyDescent="0.2">
      <c r="A637" t="s">
        <v>940</v>
      </c>
      <c r="B637" s="1" t="d">
        <v>2024-11-05</v>
      </c>
      <c r="C637" s="1" t="str">
        <f t="shared" si="27"/>
        <v>November 2024</v>
      </c>
      <c r="D637" t="s">
        <v>243</v>
      </c>
      <c r="E637" t="s">
        <v>41</v>
      </c>
      <c r="F637" t="s">
        <v>16</v>
      </c>
      <c r="G637" t="str">
        <f t="shared" si="28"/>
        <v>Campaign</v>
      </c>
      <c r="H637">
        <v>3</v>
      </c>
      <c r="I637" s="4">
        <v>0.15</v>
      </c>
      <c r="J637">
        <v>1056.9000000000001</v>
      </c>
      <c r="K637" s="6">
        <v>159.15</v>
      </c>
      <c r="L637" s="8">
        <f t="shared" si="29"/>
        <v>0.15058189043428896</v>
      </c>
    </row>
    <row r="638" spans="1:12" x14ac:dyDescent="0.2">
      <c r="A638" t="s">
        <v>941</v>
      </c>
      <c r="B638" s="1" t="d">
        <v>2024-12-21</v>
      </c>
      <c r="C638" s="1" t="str">
        <f t="shared" si="27"/>
        <v>December 2024</v>
      </c>
      <c r="D638" t="s">
        <v>749</v>
      </c>
      <c r="E638" t="s">
        <v>135</v>
      </c>
      <c r="F638" t="s">
        <v>109</v>
      </c>
      <c r="G638" t="str">
        <f t="shared" si="28"/>
        <v>Campaign</v>
      </c>
      <c r="H638">
        <v>2</v>
      </c>
      <c r="I638" s="4">
        <v>0.15</v>
      </c>
      <c r="J638">
        <v>345.41</v>
      </c>
      <c r="K638" s="6">
        <v>20.95</v>
      </c>
      <c r="L638" s="8">
        <f t="shared" si="29"/>
        <v>6.0652557829825419E-2</v>
      </c>
    </row>
    <row r="639" spans="1:12" x14ac:dyDescent="0.2">
      <c r="A639" t="s">
        <v>942</v>
      </c>
      <c r="B639" s="1" t="d">
        <v>2025-01-20</v>
      </c>
      <c r="C639" s="1" t="str">
        <f t="shared" si="27"/>
        <v>January 2025</v>
      </c>
      <c r="D639" t="s">
        <v>565</v>
      </c>
      <c r="E639" t="s">
        <v>38</v>
      </c>
      <c r="F639" t="s">
        <v>20</v>
      </c>
      <c r="G639" t="str">
        <f t="shared" si="28"/>
        <v>Campaign</v>
      </c>
      <c r="H639">
        <v>4</v>
      </c>
      <c r="I639" s="4">
        <v>0.1</v>
      </c>
      <c r="J639">
        <v>1690.52</v>
      </c>
      <c r="K639" s="6">
        <v>452.28</v>
      </c>
      <c r="L639" s="8">
        <f t="shared" si="29"/>
        <v>0.26753898208835147</v>
      </c>
    </row>
    <row r="640" spans="1:12" x14ac:dyDescent="0.2">
      <c r="A640" t="s">
        <v>943</v>
      </c>
      <c r="B640" s="1" t="d">
        <v>2025-05-27</v>
      </c>
      <c r="C640" s="1" t="str">
        <f t="shared" si="27"/>
        <v>May 2025</v>
      </c>
      <c r="D640" t="s">
        <v>137</v>
      </c>
      <c r="E640" t="s">
        <v>29</v>
      </c>
      <c r="F640" t="s">
        <v>30</v>
      </c>
      <c r="G640" t="str">
        <f t="shared" si="28"/>
        <v>Campaign</v>
      </c>
      <c r="H640">
        <v>5</v>
      </c>
      <c r="I640" s="4">
        <v>0.3</v>
      </c>
      <c r="J640">
        <v>1315.79</v>
      </c>
      <c r="K640" s="6">
        <v>379.79</v>
      </c>
      <c r="L640" s="8">
        <f t="shared" si="29"/>
        <v>0.28864028454388618</v>
      </c>
    </row>
    <row r="641" spans="1:12" x14ac:dyDescent="0.2">
      <c r="A641" t="s">
        <v>944</v>
      </c>
      <c r="B641" s="1" t="d">
        <v>2024-07-23</v>
      </c>
      <c r="C641" s="1" t="str">
        <f t="shared" si="27"/>
        <v>July 2024</v>
      </c>
      <c r="D641" t="s">
        <v>465</v>
      </c>
      <c r="E641" t="s">
        <v>47</v>
      </c>
      <c r="F641" t="s">
        <v>16</v>
      </c>
      <c r="G641" t="str">
        <f t="shared" si="28"/>
        <v>Campaign</v>
      </c>
      <c r="H641">
        <v>4</v>
      </c>
      <c r="I641" s="4">
        <v>0.05</v>
      </c>
      <c r="J641">
        <v>1142.28</v>
      </c>
      <c r="K641" s="6">
        <v>229.52</v>
      </c>
      <c r="L641" s="8">
        <f t="shared" si="29"/>
        <v>0.20093147039254824</v>
      </c>
    </row>
    <row r="642" spans="1:12" x14ac:dyDescent="0.2">
      <c r="A642" t="s">
        <v>945</v>
      </c>
      <c r="B642" s="1" t="d">
        <v>2025-05-15</v>
      </c>
      <c r="C642" s="1" t="str">
        <f t="shared" ref="C642:C705" si="30">TEXT(B642, "mmmm yyyy")</f>
        <v>May 2025</v>
      </c>
      <c r="D642" t="s">
        <v>590</v>
      </c>
      <c r="E642" t="s">
        <v>148</v>
      </c>
      <c r="F642" t="s">
        <v>16</v>
      </c>
      <c r="G642" t="str">
        <f t="shared" ref="G642:G705" si="31">IF(F642="No Campaign", "Non-Campaign", "Campaign")</f>
        <v>Campaign</v>
      </c>
      <c r="H642">
        <v>4</v>
      </c>
      <c r="I642" s="4">
        <v>0.1</v>
      </c>
      <c r="J642">
        <v>1781.89</v>
      </c>
      <c r="K642" s="6">
        <v>483.09</v>
      </c>
      <c r="L642" s="8">
        <f t="shared" ref="L642:L705" si="32">IF(J642=0, 0,K642/J642)</f>
        <v>0.27111101134188975</v>
      </c>
    </row>
    <row r="643" spans="1:12" x14ac:dyDescent="0.2">
      <c r="A643" t="s">
        <v>946</v>
      </c>
      <c r="B643" s="1" t="d">
        <v>2025-05-10</v>
      </c>
      <c r="C643" s="1" t="str">
        <f t="shared" si="30"/>
        <v>May 2025</v>
      </c>
      <c r="D643" t="s">
        <v>806</v>
      </c>
      <c r="E643" t="s">
        <v>103</v>
      </c>
      <c r="F643" t="s">
        <v>1337</v>
      </c>
      <c r="G643" t="str">
        <f t="shared" si="31"/>
        <v>Non-Campaign</v>
      </c>
      <c r="H643">
        <v>2</v>
      </c>
      <c r="I643" s="4">
        <v>0</v>
      </c>
      <c r="J643">
        <v>189.26</v>
      </c>
      <c r="K643" s="6">
        <v>41.1</v>
      </c>
      <c r="L643" s="8">
        <f t="shared" si="32"/>
        <v>0.21716157666701894</v>
      </c>
    </row>
    <row r="644" spans="1:12" x14ac:dyDescent="0.2">
      <c r="A644" t="s">
        <v>947</v>
      </c>
      <c r="B644" s="1" t="d">
        <v>2025-06-16</v>
      </c>
      <c r="C644" s="1" t="str">
        <f t="shared" si="30"/>
        <v>June 2025</v>
      </c>
      <c r="D644" t="s">
        <v>185</v>
      </c>
      <c r="E644" t="s">
        <v>44</v>
      </c>
      <c r="F644" t="s">
        <v>30</v>
      </c>
      <c r="G644" t="str">
        <f t="shared" si="31"/>
        <v>Campaign</v>
      </c>
      <c r="H644">
        <v>1</v>
      </c>
      <c r="I644" s="4">
        <v>0.3</v>
      </c>
      <c r="J644">
        <v>112.51</v>
      </c>
      <c r="K644" s="6">
        <v>7.8</v>
      </c>
      <c r="L644" s="8">
        <f t="shared" si="32"/>
        <v>6.9327170918140599E-2</v>
      </c>
    </row>
    <row r="645" spans="1:12" x14ac:dyDescent="0.2">
      <c r="A645" t="s">
        <v>948</v>
      </c>
      <c r="B645" s="1" t="d">
        <v>2024-09-01</v>
      </c>
      <c r="C645" s="1" t="str">
        <f t="shared" si="30"/>
        <v>September 2024</v>
      </c>
      <c r="D645" t="s">
        <v>949</v>
      </c>
      <c r="E645" t="s">
        <v>38</v>
      </c>
      <c r="F645" t="s">
        <v>1337</v>
      </c>
      <c r="G645" t="str">
        <f t="shared" si="31"/>
        <v>Non-Campaign</v>
      </c>
      <c r="H645">
        <v>4</v>
      </c>
      <c r="I645" s="4">
        <v>0.15</v>
      </c>
      <c r="J645">
        <v>1596.61</v>
      </c>
      <c r="K645" s="6">
        <v>358.37</v>
      </c>
      <c r="L645" s="8">
        <f t="shared" si="32"/>
        <v>0.22445681788288938</v>
      </c>
    </row>
    <row r="646" spans="1:12" x14ac:dyDescent="0.2">
      <c r="A646" t="s">
        <v>950</v>
      </c>
      <c r="B646" s="1" t="d">
        <v>2025-05-18</v>
      </c>
      <c r="C646" s="1" t="str">
        <f t="shared" si="30"/>
        <v>May 2025</v>
      </c>
      <c r="D646" t="s">
        <v>257</v>
      </c>
      <c r="E646" t="s">
        <v>135</v>
      </c>
      <c r="F646" t="s">
        <v>12</v>
      </c>
      <c r="G646" t="str">
        <f t="shared" si="31"/>
        <v>Campaign</v>
      </c>
      <c r="H646">
        <v>1</v>
      </c>
      <c r="I646" s="4">
        <v>0.3</v>
      </c>
      <c r="J646">
        <v>142.22999999999999</v>
      </c>
      <c r="K646" s="6">
        <v>-20</v>
      </c>
      <c r="L646" s="8">
        <f t="shared" si="32"/>
        <v>-0.14061730999085989</v>
      </c>
    </row>
    <row r="647" spans="1:12" x14ac:dyDescent="0.2">
      <c r="A647" t="s">
        <v>951</v>
      </c>
      <c r="B647" s="1" t="d">
        <v>2025-05-31</v>
      </c>
      <c r="C647" s="1" t="str">
        <f t="shared" si="30"/>
        <v>May 2025</v>
      </c>
      <c r="D647" t="s">
        <v>888</v>
      </c>
      <c r="E647" t="s">
        <v>23</v>
      </c>
      <c r="F647" t="s">
        <v>109</v>
      </c>
      <c r="G647" t="str">
        <f t="shared" si="31"/>
        <v>Campaign</v>
      </c>
      <c r="H647">
        <v>3</v>
      </c>
      <c r="I647" s="4">
        <v>0.2</v>
      </c>
      <c r="J647">
        <v>630.16999999999996</v>
      </c>
      <c r="K647" s="6">
        <v>306.70999999999998</v>
      </c>
      <c r="L647" s="8">
        <f t="shared" si="32"/>
        <v>0.48670993541425328</v>
      </c>
    </row>
    <row r="648" spans="1:12" x14ac:dyDescent="0.2">
      <c r="A648" t="s">
        <v>952</v>
      </c>
      <c r="B648" s="1" t="d">
        <v>2025-06-25</v>
      </c>
      <c r="C648" s="1" t="str">
        <f t="shared" si="30"/>
        <v>June 2025</v>
      </c>
      <c r="D648" t="s">
        <v>953</v>
      </c>
      <c r="E648" t="s">
        <v>148</v>
      </c>
      <c r="F648" t="s">
        <v>16</v>
      </c>
      <c r="G648" t="str">
        <f t="shared" si="31"/>
        <v>Campaign</v>
      </c>
      <c r="H648">
        <v>4</v>
      </c>
      <c r="I648" s="4">
        <v>0.3</v>
      </c>
      <c r="J648">
        <v>1385.92</v>
      </c>
      <c r="K648" s="6">
        <v>87.12</v>
      </c>
      <c r="L648" s="8">
        <f t="shared" si="32"/>
        <v>6.2860771184483952E-2</v>
      </c>
    </row>
    <row r="649" spans="1:12" x14ac:dyDescent="0.2">
      <c r="A649" t="s">
        <v>954</v>
      </c>
      <c r="B649" s="1" t="d">
        <v>2024-10-28</v>
      </c>
      <c r="C649" s="1" t="str">
        <f t="shared" si="30"/>
        <v>October 2024</v>
      </c>
      <c r="D649" t="s">
        <v>340</v>
      </c>
      <c r="E649" t="s">
        <v>44</v>
      </c>
      <c r="F649" t="s">
        <v>20</v>
      </c>
      <c r="G649" t="str">
        <f t="shared" si="31"/>
        <v>Campaign</v>
      </c>
      <c r="H649">
        <v>5</v>
      </c>
      <c r="I649" s="4">
        <v>0.1</v>
      </c>
      <c r="J649">
        <v>723.28</v>
      </c>
      <c r="K649" s="6">
        <v>199.73</v>
      </c>
      <c r="L649" s="8">
        <f t="shared" si="32"/>
        <v>0.2761447848689304</v>
      </c>
    </row>
    <row r="650" spans="1:12" x14ac:dyDescent="0.2">
      <c r="A650" t="s">
        <v>955</v>
      </c>
      <c r="B650" s="1" t="d">
        <v>2024-07-04</v>
      </c>
      <c r="C650" s="1" t="str">
        <f t="shared" si="30"/>
        <v>July 2024</v>
      </c>
      <c r="D650" t="s">
        <v>751</v>
      </c>
      <c r="E650" t="s">
        <v>138</v>
      </c>
      <c r="F650" t="s">
        <v>30</v>
      </c>
      <c r="G650" t="str">
        <f t="shared" si="31"/>
        <v>Campaign</v>
      </c>
      <c r="H650">
        <v>5</v>
      </c>
      <c r="I650" s="4">
        <v>0.15</v>
      </c>
      <c r="J650">
        <v>1840.97</v>
      </c>
      <c r="K650" s="6">
        <v>964.67</v>
      </c>
      <c r="L650" s="8">
        <f t="shared" si="32"/>
        <v>0.52400093429007533</v>
      </c>
    </row>
    <row r="651" spans="1:12" x14ac:dyDescent="0.2">
      <c r="A651" t="s">
        <v>956</v>
      </c>
      <c r="B651" s="1" t="d">
        <v>2024-11-05</v>
      </c>
      <c r="C651" s="1" t="str">
        <f t="shared" si="30"/>
        <v>November 2024</v>
      </c>
      <c r="D651" t="s">
        <v>49</v>
      </c>
      <c r="E651" t="s">
        <v>130</v>
      </c>
      <c r="F651" t="s">
        <v>1337</v>
      </c>
      <c r="G651" t="str">
        <f t="shared" si="31"/>
        <v>Non-Campaign</v>
      </c>
      <c r="H651">
        <v>4</v>
      </c>
      <c r="I651" s="4">
        <v>0.15</v>
      </c>
      <c r="J651">
        <v>1301.45</v>
      </c>
      <c r="K651" s="6">
        <v>161.61000000000001</v>
      </c>
      <c r="L651" s="8">
        <f t="shared" si="32"/>
        <v>0.12417687963425411</v>
      </c>
    </row>
    <row r="652" spans="1:12" x14ac:dyDescent="0.2">
      <c r="A652" t="s">
        <v>957</v>
      </c>
      <c r="B652" s="1" t="d">
        <v>2024-09-24</v>
      </c>
      <c r="C652" s="1" t="str">
        <f t="shared" si="30"/>
        <v>September 2024</v>
      </c>
      <c r="D652" t="s">
        <v>428</v>
      </c>
      <c r="E652" t="s">
        <v>38</v>
      </c>
      <c r="F652" t="s">
        <v>16</v>
      </c>
      <c r="G652" t="str">
        <f t="shared" si="31"/>
        <v>Campaign</v>
      </c>
      <c r="H652">
        <v>4</v>
      </c>
      <c r="I652" s="4">
        <v>0.05</v>
      </c>
      <c r="J652">
        <v>1784.44</v>
      </c>
      <c r="K652" s="6">
        <v>546.20000000000005</v>
      </c>
      <c r="L652" s="8">
        <f t="shared" si="32"/>
        <v>0.30609042612808501</v>
      </c>
    </row>
    <row r="653" spans="1:12" x14ac:dyDescent="0.2">
      <c r="A653" t="s">
        <v>958</v>
      </c>
      <c r="B653" s="1" t="d">
        <v>2025-04-01</v>
      </c>
      <c r="C653" s="1" t="str">
        <f t="shared" si="30"/>
        <v>April 2025</v>
      </c>
      <c r="D653" t="s">
        <v>959</v>
      </c>
      <c r="E653" t="s">
        <v>26</v>
      </c>
      <c r="F653" t="s">
        <v>109</v>
      </c>
      <c r="G653" t="str">
        <f t="shared" si="31"/>
        <v>Campaign</v>
      </c>
      <c r="H653">
        <v>2</v>
      </c>
      <c r="I653" s="4">
        <v>0.05</v>
      </c>
      <c r="J653">
        <v>422.79</v>
      </c>
      <c r="K653" s="6">
        <v>239.47</v>
      </c>
      <c r="L653" s="8">
        <f t="shared" si="32"/>
        <v>0.56640412497930415</v>
      </c>
    </row>
    <row r="654" spans="1:12" x14ac:dyDescent="0.2">
      <c r="A654" t="s">
        <v>960</v>
      </c>
      <c r="B654" s="1" t="d">
        <v>2025-01-13</v>
      </c>
      <c r="C654" s="1" t="str">
        <f t="shared" si="30"/>
        <v>January 2025</v>
      </c>
      <c r="D654" t="s">
        <v>105</v>
      </c>
      <c r="E654" t="s">
        <v>35</v>
      </c>
      <c r="F654" t="s">
        <v>1337</v>
      </c>
      <c r="G654" t="str">
        <f t="shared" si="31"/>
        <v>Non-Campaign</v>
      </c>
      <c r="H654">
        <v>5</v>
      </c>
      <c r="I654" s="4">
        <v>0.3</v>
      </c>
      <c r="J654">
        <v>1059.97</v>
      </c>
      <c r="K654" s="6">
        <v>-35.979999999999997</v>
      </c>
      <c r="L654" s="8">
        <f t="shared" si="32"/>
        <v>-3.394435691576176E-2</v>
      </c>
    </row>
    <row r="655" spans="1:12" x14ac:dyDescent="0.2">
      <c r="A655" t="s">
        <v>961</v>
      </c>
      <c r="B655" s="1" t="d">
        <v>2025-05-16</v>
      </c>
      <c r="C655" s="1" t="str">
        <f t="shared" si="30"/>
        <v>May 2025</v>
      </c>
      <c r="D655" t="s">
        <v>192</v>
      </c>
      <c r="E655" t="s">
        <v>96</v>
      </c>
      <c r="F655" t="s">
        <v>30</v>
      </c>
      <c r="G655" t="str">
        <f t="shared" si="31"/>
        <v>Campaign</v>
      </c>
      <c r="H655">
        <v>4</v>
      </c>
      <c r="I655" s="4">
        <v>0.1</v>
      </c>
      <c r="J655">
        <v>186.37</v>
      </c>
      <c r="K655" s="6">
        <v>27.89</v>
      </c>
      <c r="L655" s="8">
        <f t="shared" si="32"/>
        <v>0.14964854858614585</v>
      </c>
    </row>
    <row r="656" spans="1:12" x14ac:dyDescent="0.2">
      <c r="A656" t="s">
        <v>962</v>
      </c>
      <c r="B656" s="1" t="d">
        <v>2024-12-22</v>
      </c>
      <c r="C656" s="1" t="str">
        <f t="shared" si="30"/>
        <v>December 2024</v>
      </c>
      <c r="D656" t="s">
        <v>435</v>
      </c>
      <c r="E656" t="s">
        <v>106</v>
      </c>
      <c r="F656" t="s">
        <v>1337</v>
      </c>
      <c r="G656" t="str">
        <f t="shared" si="31"/>
        <v>Non-Campaign</v>
      </c>
      <c r="H656">
        <v>4</v>
      </c>
      <c r="I656" s="4">
        <v>0.05</v>
      </c>
      <c r="J656">
        <v>751.22</v>
      </c>
      <c r="K656" s="6">
        <v>368.66</v>
      </c>
      <c r="L656" s="8">
        <f t="shared" si="32"/>
        <v>0.49074838263092041</v>
      </c>
    </row>
    <row r="657" spans="1:12" x14ac:dyDescent="0.2">
      <c r="A657" t="s">
        <v>963</v>
      </c>
      <c r="B657" s="1" t="d">
        <v>2024-08-02</v>
      </c>
      <c r="C657" s="1" t="str">
        <f t="shared" si="30"/>
        <v>August 2024</v>
      </c>
      <c r="D657" t="s">
        <v>964</v>
      </c>
      <c r="E657" t="s">
        <v>41</v>
      </c>
      <c r="F657" t="s">
        <v>1337</v>
      </c>
      <c r="G657" t="str">
        <f t="shared" si="31"/>
        <v>Non-Campaign</v>
      </c>
      <c r="H657">
        <v>1</v>
      </c>
      <c r="I657" s="4">
        <v>0.05</v>
      </c>
      <c r="J657">
        <v>393.75</v>
      </c>
      <c r="K657" s="6">
        <v>94.5</v>
      </c>
      <c r="L657" s="8">
        <f t="shared" si="32"/>
        <v>0.24</v>
      </c>
    </row>
    <row r="658" spans="1:12" x14ac:dyDescent="0.2">
      <c r="A658" t="s">
        <v>965</v>
      </c>
      <c r="B658" s="1" t="d">
        <v>2025-06-21</v>
      </c>
      <c r="C658" s="1" t="str">
        <f t="shared" si="30"/>
        <v>June 2025</v>
      </c>
      <c r="D658" t="s">
        <v>40</v>
      </c>
      <c r="E658" t="s">
        <v>193</v>
      </c>
      <c r="F658" t="s">
        <v>16</v>
      </c>
      <c r="G658" t="str">
        <f t="shared" si="31"/>
        <v>Campaign</v>
      </c>
      <c r="H658">
        <v>2</v>
      </c>
      <c r="I658" s="4">
        <v>0.3</v>
      </c>
      <c r="J658">
        <v>464.72</v>
      </c>
      <c r="K658" s="6">
        <v>54.46</v>
      </c>
      <c r="L658" s="8">
        <f t="shared" si="32"/>
        <v>0.11718884489585125</v>
      </c>
    </row>
    <row r="659" spans="1:12" x14ac:dyDescent="0.2">
      <c r="A659" t="s">
        <v>966</v>
      </c>
      <c r="B659" s="1" t="d">
        <v>2025-02-04</v>
      </c>
      <c r="C659" s="1" t="str">
        <f t="shared" si="30"/>
        <v>February 2025</v>
      </c>
      <c r="D659" t="s">
        <v>624</v>
      </c>
      <c r="E659" t="s">
        <v>58</v>
      </c>
      <c r="F659" t="s">
        <v>16</v>
      </c>
      <c r="G659" t="str">
        <f t="shared" si="31"/>
        <v>Campaign</v>
      </c>
      <c r="H659">
        <v>1</v>
      </c>
      <c r="I659" s="4">
        <v>0.05</v>
      </c>
      <c r="J659">
        <v>65.739999999999995</v>
      </c>
      <c r="K659" s="6">
        <v>17.559999999999999</v>
      </c>
      <c r="L659" s="8">
        <f t="shared" si="32"/>
        <v>0.26711286887739583</v>
      </c>
    </row>
    <row r="660" spans="1:12" x14ac:dyDescent="0.2">
      <c r="A660" t="s">
        <v>967</v>
      </c>
      <c r="B660" s="1" t="d">
        <v>2025-04-05</v>
      </c>
      <c r="C660" s="1" t="str">
        <f t="shared" si="30"/>
        <v>April 2025</v>
      </c>
      <c r="D660" t="s">
        <v>762</v>
      </c>
      <c r="E660" t="s">
        <v>138</v>
      </c>
      <c r="F660" t="s">
        <v>16</v>
      </c>
      <c r="G660" t="str">
        <f t="shared" si="31"/>
        <v>Campaign</v>
      </c>
      <c r="H660">
        <v>5</v>
      </c>
      <c r="I660" s="4">
        <v>0.15</v>
      </c>
      <c r="J660">
        <v>1840.97</v>
      </c>
      <c r="K660" s="6">
        <v>964.67</v>
      </c>
      <c r="L660" s="8">
        <f t="shared" si="32"/>
        <v>0.52400093429007533</v>
      </c>
    </row>
    <row r="661" spans="1:12" x14ac:dyDescent="0.2">
      <c r="A661" t="s">
        <v>968</v>
      </c>
      <c r="B661" s="1" t="d">
        <v>2025-02-27</v>
      </c>
      <c r="C661" s="1" t="str">
        <f t="shared" si="30"/>
        <v>February 2025</v>
      </c>
      <c r="D661" t="s">
        <v>354</v>
      </c>
      <c r="E661" t="s">
        <v>41</v>
      </c>
      <c r="F661" t="s">
        <v>12</v>
      </c>
      <c r="G661" t="str">
        <f t="shared" si="31"/>
        <v>Campaign</v>
      </c>
      <c r="H661">
        <v>3</v>
      </c>
      <c r="I661" s="4">
        <v>0</v>
      </c>
      <c r="J661">
        <v>1243.4100000000001</v>
      </c>
      <c r="K661" s="6">
        <v>345.66</v>
      </c>
      <c r="L661" s="8">
        <f t="shared" si="32"/>
        <v>0.27799358216517478</v>
      </c>
    </row>
    <row r="662" spans="1:12" x14ac:dyDescent="0.2">
      <c r="A662" t="s">
        <v>969</v>
      </c>
      <c r="B662" s="1" t="d">
        <v>2024-06-30</v>
      </c>
      <c r="C662" s="1" t="str">
        <f t="shared" si="30"/>
        <v>June 2024</v>
      </c>
      <c r="D662" t="s">
        <v>970</v>
      </c>
      <c r="E662" t="s">
        <v>11</v>
      </c>
      <c r="F662" t="s">
        <v>1337</v>
      </c>
      <c r="G662" t="str">
        <f t="shared" si="31"/>
        <v>Non-Campaign</v>
      </c>
      <c r="H662">
        <v>4</v>
      </c>
      <c r="I662" s="4">
        <v>0.05</v>
      </c>
      <c r="J662">
        <v>769.35</v>
      </c>
      <c r="K662" s="6">
        <v>298.55</v>
      </c>
      <c r="L662" s="8">
        <f t="shared" si="32"/>
        <v>0.38805485149801783</v>
      </c>
    </row>
    <row r="663" spans="1:12" x14ac:dyDescent="0.2">
      <c r="A663" t="s">
        <v>971</v>
      </c>
      <c r="B663" s="1" t="d">
        <v>2024-07-14</v>
      </c>
      <c r="C663" s="1" t="str">
        <f t="shared" si="30"/>
        <v>July 2024</v>
      </c>
      <c r="D663" t="s">
        <v>660</v>
      </c>
      <c r="E663" t="s">
        <v>130</v>
      </c>
      <c r="F663" t="s">
        <v>1337</v>
      </c>
      <c r="G663" t="str">
        <f t="shared" si="31"/>
        <v>Non-Campaign</v>
      </c>
      <c r="H663">
        <v>5</v>
      </c>
      <c r="I663" s="4">
        <v>0.05</v>
      </c>
      <c r="J663">
        <v>1818.2</v>
      </c>
      <c r="K663" s="6">
        <v>393.4</v>
      </c>
      <c r="L663" s="8">
        <f t="shared" si="32"/>
        <v>0.21636783632163675</v>
      </c>
    </row>
    <row r="664" spans="1:12" x14ac:dyDescent="0.2">
      <c r="A664" t="s">
        <v>972</v>
      </c>
      <c r="B664" s="1" t="d">
        <v>2025-04-02</v>
      </c>
      <c r="C664" s="1" t="str">
        <f t="shared" si="30"/>
        <v>April 2025</v>
      </c>
      <c r="D664" t="s">
        <v>179</v>
      </c>
      <c r="E664" t="s">
        <v>130</v>
      </c>
      <c r="F664" t="s">
        <v>16</v>
      </c>
      <c r="G664" t="str">
        <f t="shared" si="31"/>
        <v>Campaign</v>
      </c>
      <c r="H664">
        <v>5</v>
      </c>
      <c r="I664" s="4">
        <v>0.3</v>
      </c>
      <c r="J664">
        <v>1339.73</v>
      </c>
      <c r="K664" s="6">
        <v>-85.07</v>
      </c>
      <c r="L664" s="8">
        <f t="shared" si="32"/>
        <v>-6.3497868973599159E-2</v>
      </c>
    </row>
    <row r="665" spans="1:12" x14ac:dyDescent="0.2">
      <c r="A665" t="s">
        <v>973</v>
      </c>
      <c r="B665" s="1" t="d">
        <v>2024-10-06</v>
      </c>
      <c r="C665" s="1" t="str">
        <f t="shared" si="30"/>
        <v>October 2024</v>
      </c>
      <c r="D665" t="s">
        <v>583</v>
      </c>
      <c r="E665" t="s">
        <v>72</v>
      </c>
      <c r="F665" t="s">
        <v>16</v>
      </c>
      <c r="G665" t="str">
        <f t="shared" si="31"/>
        <v>Campaign</v>
      </c>
      <c r="H665">
        <v>3</v>
      </c>
      <c r="I665" s="4">
        <v>0.15</v>
      </c>
      <c r="J665">
        <v>164.53</v>
      </c>
      <c r="K665" s="6">
        <v>79.63</v>
      </c>
      <c r="L665" s="8">
        <f t="shared" si="32"/>
        <v>0.48398468364432018</v>
      </c>
    </row>
    <row r="666" spans="1:12" x14ac:dyDescent="0.2">
      <c r="A666" t="s">
        <v>974</v>
      </c>
      <c r="B666" s="1" t="d">
        <v>2025-06-07</v>
      </c>
      <c r="C666" s="1" t="str">
        <f t="shared" si="30"/>
        <v>June 2025</v>
      </c>
      <c r="D666" t="s">
        <v>301</v>
      </c>
      <c r="E666" t="s">
        <v>103</v>
      </c>
      <c r="F666" t="s">
        <v>1337</v>
      </c>
      <c r="G666" t="str">
        <f t="shared" si="31"/>
        <v>Non-Campaign</v>
      </c>
      <c r="H666">
        <v>4</v>
      </c>
      <c r="I666" s="4">
        <v>0.05</v>
      </c>
      <c r="J666">
        <v>359.59</v>
      </c>
      <c r="K666" s="6">
        <v>63.27</v>
      </c>
      <c r="L666" s="8">
        <f t="shared" si="32"/>
        <v>0.17595038794182266</v>
      </c>
    </row>
    <row r="667" spans="1:12" x14ac:dyDescent="0.2">
      <c r="A667" t="s">
        <v>975</v>
      </c>
      <c r="B667" s="1" t="d">
        <v>2025-02-17</v>
      </c>
      <c r="C667" s="1" t="str">
        <f t="shared" si="30"/>
        <v>February 2025</v>
      </c>
      <c r="D667" t="s">
        <v>756</v>
      </c>
      <c r="E667" t="s">
        <v>29</v>
      </c>
      <c r="F667" t="s">
        <v>30</v>
      </c>
      <c r="G667" t="str">
        <f t="shared" si="31"/>
        <v>Campaign</v>
      </c>
      <c r="H667">
        <v>5</v>
      </c>
      <c r="I667" s="4">
        <v>0.2</v>
      </c>
      <c r="J667">
        <v>1503.76</v>
      </c>
      <c r="K667" s="6">
        <v>567.76</v>
      </c>
      <c r="L667" s="8">
        <f t="shared" si="32"/>
        <v>0.3775602489759004</v>
      </c>
    </row>
    <row r="668" spans="1:12" x14ac:dyDescent="0.2">
      <c r="A668" t="s">
        <v>976</v>
      </c>
      <c r="B668" s="1" t="d">
        <v>2025-04-30</v>
      </c>
      <c r="C668" s="1" t="str">
        <f t="shared" si="30"/>
        <v>April 2025</v>
      </c>
      <c r="D668" t="s">
        <v>592</v>
      </c>
      <c r="E668" t="s">
        <v>130</v>
      </c>
      <c r="F668" t="s">
        <v>16</v>
      </c>
      <c r="G668" t="str">
        <f t="shared" si="31"/>
        <v>Campaign</v>
      </c>
      <c r="H668">
        <v>5</v>
      </c>
      <c r="I668" s="4">
        <v>0</v>
      </c>
      <c r="J668">
        <v>1913.9</v>
      </c>
      <c r="K668" s="6">
        <v>489.1</v>
      </c>
      <c r="L668" s="8">
        <f t="shared" si="32"/>
        <v>0.25555149171848057</v>
      </c>
    </row>
    <row r="669" spans="1:12" x14ac:dyDescent="0.2">
      <c r="A669" t="s">
        <v>977</v>
      </c>
      <c r="B669" s="1" t="d">
        <v>2024-08-12</v>
      </c>
      <c r="C669" s="1" t="str">
        <f t="shared" si="30"/>
        <v>August 2024</v>
      </c>
      <c r="D669" t="s">
        <v>252</v>
      </c>
      <c r="E669" t="s">
        <v>106</v>
      </c>
      <c r="F669" t="s">
        <v>12</v>
      </c>
      <c r="G669" t="str">
        <f t="shared" si="31"/>
        <v>Campaign</v>
      </c>
      <c r="H669">
        <v>5</v>
      </c>
      <c r="I669" s="4">
        <v>0.2</v>
      </c>
      <c r="J669">
        <v>790.76</v>
      </c>
      <c r="K669" s="6">
        <v>312.56</v>
      </c>
      <c r="L669" s="8">
        <f t="shared" si="32"/>
        <v>0.39526531438110174</v>
      </c>
    </row>
    <row r="670" spans="1:12" x14ac:dyDescent="0.2">
      <c r="A670" t="s">
        <v>978</v>
      </c>
      <c r="B670" s="1" t="d">
        <v>2025-01-16</v>
      </c>
      <c r="C670" s="1" t="str">
        <f t="shared" si="30"/>
        <v>January 2025</v>
      </c>
      <c r="D670" t="s">
        <v>192</v>
      </c>
      <c r="E670" t="s">
        <v>26</v>
      </c>
      <c r="F670" t="s">
        <v>1337</v>
      </c>
      <c r="G670" t="str">
        <f t="shared" si="31"/>
        <v>Non-Campaign</v>
      </c>
      <c r="H670">
        <v>2</v>
      </c>
      <c r="I670" s="4">
        <v>0.2</v>
      </c>
      <c r="J670">
        <v>356.03</v>
      </c>
      <c r="K670" s="6">
        <v>172.71</v>
      </c>
      <c r="L670" s="8">
        <f t="shared" si="32"/>
        <v>0.48509957026093314</v>
      </c>
    </row>
    <row r="671" spans="1:12" x14ac:dyDescent="0.2">
      <c r="A671" t="s">
        <v>979</v>
      </c>
      <c r="B671" s="1" t="d">
        <v>2025-02-19</v>
      </c>
      <c r="C671" s="1" t="str">
        <f t="shared" si="30"/>
        <v>February 2025</v>
      </c>
      <c r="D671" t="s">
        <v>306</v>
      </c>
      <c r="E671" t="s">
        <v>130</v>
      </c>
      <c r="F671" t="s">
        <v>12</v>
      </c>
      <c r="G671" t="str">
        <f t="shared" si="31"/>
        <v>Campaign</v>
      </c>
      <c r="H671">
        <v>4</v>
      </c>
      <c r="I671" s="4">
        <v>0.2</v>
      </c>
      <c r="J671">
        <v>1224.9000000000001</v>
      </c>
      <c r="K671" s="6">
        <v>85.06</v>
      </c>
      <c r="L671" s="8">
        <f t="shared" si="32"/>
        <v>6.9442403461507055E-2</v>
      </c>
    </row>
    <row r="672" spans="1:12" x14ac:dyDescent="0.2">
      <c r="A672" t="s">
        <v>980</v>
      </c>
      <c r="B672" s="1" t="d">
        <v>2024-07-01</v>
      </c>
      <c r="C672" s="1" t="str">
        <f t="shared" si="30"/>
        <v>July 2024</v>
      </c>
      <c r="D672" t="s">
        <v>423</v>
      </c>
      <c r="E672" t="s">
        <v>44</v>
      </c>
      <c r="F672" t="s">
        <v>12</v>
      </c>
      <c r="G672" t="str">
        <f t="shared" si="31"/>
        <v>Campaign</v>
      </c>
      <c r="H672">
        <v>5</v>
      </c>
      <c r="I672" s="4">
        <v>0.15</v>
      </c>
      <c r="J672">
        <v>683.1</v>
      </c>
      <c r="K672" s="6">
        <v>159.55000000000001</v>
      </c>
      <c r="L672" s="8">
        <f t="shared" si="32"/>
        <v>0.23356755965451617</v>
      </c>
    </row>
    <row r="673" spans="1:12" x14ac:dyDescent="0.2">
      <c r="A673" t="s">
        <v>981</v>
      </c>
      <c r="B673" s="1" t="d">
        <v>2024-09-09</v>
      </c>
      <c r="C673" s="1" t="str">
        <f t="shared" si="30"/>
        <v>September 2024</v>
      </c>
      <c r="D673" t="s">
        <v>959</v>
      </c>
      <c r="E673" t="s">
        <v>119</v>
      </c>
      <c r="F673" t="s">
        <v>1337</v>
      </c>
      <c r="G673" t="str">
        <f t="shared" si="31"/>
        <v>Non-Campaign</v>
      </c>
      <c r="H673">
        <v>4</v>
      </c>
      <c r="I673" s="4">
        <v>0.1</v>
      </c>
      <c r="J673">
        <v>450.97</v>
      </c>
      <c r="K673" s="6">
        <v>50.61</v>
      </c>
      <c r="L673" s="8">
        <f t="shared" si="32"/>
        <v>0.11222475996185999</v>
      </c>
    </row>
    <row r="674" spans="1:12" x14ac:dyDescent="0.2">
      <c r="A674" t="s">
        <v>982</v>
      </c>
      <c r="B674" s="1" t="d">
        <v>2025-06-30</v>
      </c>
      <c r="C674" s="1" t="str">
        <f t="shared" si="30"/>
        <v>June 2025</v>
      </c>
      <c r="D674" t="s">
        <v>983</v>
      </c>
      <c r="E674" t="s">
        <v>23</v>
      </c>
      <c r="F674" t="s">
        <v>1337</v>
      </c>
      <c r="G674" t="str">
        <f t="shared" si="31"/>
        <v>Non-Campaign</v>
      </c>
      <c r="H674">
        <v>2</v>
      </c>
      <c r="I674" s="4">
        <v>0.1</v>
      </c>
      <c r="J674">
        <v>472.63</v>
      </c>
      <c r="K674" s="6">
        <v>256.99</v>
      </c>
      <c r="L674" s="8">
        <f t="shared" si="32"/>
        <v>0.54374457821128586</v>
      </c>
    </row>
    <row r="675" spans="1:12" x14ac:dyDescent="0.2">
      <c r="A675" t="s">
        <v>984</v>
      </c>
      <c r="B675" s="1" t="d">
        <v>2024-09-22</v>
      </c>
      <c r="C675" s="1" t="str">
        <f t="shared" si="30"/>
        <v>September 2024</v>
      </c>
      <c r="D675" t="s">
        <v>221</v>
      </c>
      <c r="E675" t="s">
        <v>47</v>
      </c>
      <c r="F675" t="s">
        <v>30</v>
      </c>
      <c r="G675" t="str">
        <f t="shared" si="31"/>
        <v>Campaign</v>
      </c>
      <c r="H675">
        <v>1</v>
      </c>
      <c r="I675" s="4">
        <v>0.1</v>
      </c>
      <c r="J675">
        <v>270.54000000000002</v>
      </c>
      <c r="K675" s="6">
        <v>42.35</v>
      </c>
      <c r="L675" s="8">
        <f t="shared" si="32"/>
        <v>0.15653877430324536</v>
      </c>
    </row>
    <row r="676" spans="1:12" x14ac:dyDescent="0.2">
      <c r="A676" t="s">
        <v>985</v>
      </c>
      <c r="B676" s="1" t="d">
        <v>2025-06-14</v>
      </c>
      <c r="C676" s="1" t="str">
        <f t="shared" si="30"/>
        <v>June 2025</v>
      </c>
      <c r="D676" t="s">
        <v>953</v>
      </c>
      <c r="E676" t="s">
        <v>19</v>
      </c>
      <c r="F676" t="s">
        <v>109</v>
      </c>
      <c r="G676" t="str">
        <f t="shared" si="31"/>
        <v>Campaign</v>
      </c>
      <c r="H676">
        <v>2</v>
      </c>
      <c r="I676" s="4">
        <v>0</v>
      </c>
      <c r="J676">
        <v>317.82</v>
      </c>
      <c r="K676" s="6">
        <v>180.54</v>
      </c>
      <c r="L676" s="8">
        <f t="shared" si="32"/>
        <v>0.56805739097602415</v>
      </c>
    </row>
    <row r="677" spans="1:12" x14ac:dyDescent="0.2">
      <c r="A677" t="s">
        <v>986</v>
      </c>
      <c r="B677" s="1" t="d">
        <v>2024-09-08</v>
      </c>
      <c r="C677" s="1" t="str">
        <f t="shared" si="30"/>
        <v>September 2024</v>
      </c>
      <c r="D677" t="s">
        <v>428</v>
      </c>
      <c r="E677" t="s">
        <v>148</v>
      </c>
      <c r="F677" t="s">
        <v>20</v>
      </c>
      <c r="G677" t="str">
        <f t="shared" si="31"/>
        <v>Campaign</v>
      </c>
      <c r="H677">
        <v>5</v>
      </c>
      <c r="I677" s="4">
        <v>0</v>
      </c>
      <c r="J677">
        <v>2474.85</v>
      </c>
      <c r="K677" s="6">
        <v>851.35</v>
      </c>
      <c r="L677" s="8">
        <f t="shared" si="32"/>
        <v>0.34400064650382856</v>
      </c>
    </row>
    <row r="678" spans="1:12" x14ac:dyDescent="0.2">
      <c r="A678" t="s">
        <v>987</v>
      </c>
      <c r="B678" s="1" t="d">
        <v>2024-08-19</v>
      </c>
      <c r="C678" s="1" t="str">
        <f t="shared" si="30"/>
        <v>August 2024</v>
      </c>
      <c r="D678" t="s">
        <v>751</v>
      </c>
      <c r="E678" t="s">
        <v>41</v>
      </c>
      <c r="F678" t="s">
        <v>30</v>
      </c>
      <c r="G678" t="str">
        <f t="shared" si="31"/>
        <v>Campaign</v>
      </c>
      <c r="H678">
        <v>3</v>
      </c>
      <c r="I678" s="4">
        <v>0.15</v>
      </c>
      <c r="J678">
        <v>1056.9000000000001</v>
      </c>
      <c r="K678" s="6">
        <v>159.15</v>
      </c>
      <c r="L678" s="8">
        <f t="shared" si="32"/>
        <v>0.15058189043428896</v>
      </c>
    </row>
    <row r="679" spans="1:12" x14ac:dyDescent="0.2">
      <c r="A679" t="s">
        <v>988</v>
      </c>
      <c r="B679" s="1" t="d">
        <v>2024-11-01</v>
      </c>
      <c r="C679" s="1" t="str">
        <f t="shared" si="30"/>
        <v>November 2024</v>
      </c>
      <c r="D679" t="s">
        <v>989</v>
      </c>
      <c r="E679" t="s">
        <v>23</v>
      </c>
      <c r="F679" t="s">
        <v>16</v>
      </c>
      <c r="G679" t="str">
        <f t="shared" si="31"/>
        <v>Campaign</v>
      </c>
      <c r="H679">
        <v>4</v>
      </c>
      <c r="I679" s="4">
        <v>0.3</v>
      </c>
      <c r="J679">
        <v>735.2</v>
      </c>
      <c r="K679" s="6">
        <v>303.92</v>
      </c>
      <c r="L679" s="8">
        <f t="shared" si="32"/>
        <v>0.41338411316648532</v>
      </c>
    </row>
    <row r="680" spans="1:12" x14ac:dyDescent="0.2">
      <c r="A680" t="s">
        <v>990</v>
      </c>
      <c r="B680" s="1" t="d">
        <v>2025-01-24</v>
      </c>
      <c r="C680" s="1" t="str">
        <f t="shared" si="30"/>
        <v>January 2025</v>
      </c>
      <c r="D680" t="s">
        <v>401</v>
      </c>
      <c r="E680" t="s">
        <v>72</v>
      </c>
      <c r="F680" t="s">
        <v>109</v>
      </c>
      <c r="G680" t="str">
        <f t="shared" si="31"/>
        <v>Campaign</v>
      </c>
      <c r="H680">
        <v>5</v>
      </c>
      <c r="I680" s="4">
        <v>0.15</v>
      </c>
      <c r="J680">
        <v>274.20999999999998</v>
      </c>
      <c r="K680" s="6">
        <v>132.71</v>
      </c>
      <c r="L680" s="8">
        <f t="shared" si="32"/>
        <v>0.48397213814229978</v>
      </c>
    </row>
    <row r="681" spans="1:12" x14ac:dyDescent="0.2">
      <c r="A681" t="s">
        <v>991</v>
      </c>
      <c r="B681" s="1" t="d">
        <v>2024-11-19</v>
      </c>
      <c r="C681" s="1" t="str">
        <f t="shared" si="30"/>
        <v>November 2024</v>
      </c>
      <c r="D681" t="s">
        <v>930</v>
      </c>
      <c r="E681" t="s">
        <v>44</v>
      </c>
      <c r="F681" t="s">
        <v>109</v>
      </c>
      <c r="G681" t="str">
        <f t="shared" si="31"/>
        <v>Campaign</v>
      </c>
      <c r="H681">
        <v>4</v>
      </c>
      <c r="I681" s="4">
        <v>0.05</v>
      </c>
      <c r="J681">
        <v>610.77</v>
      </c>
      <c r="K681" s="6">
        <v>191.93</v>
      </c>
      <c r="L681" s="8">
        <f t="shared" si="32"/>
        <v>0.31424267727622512</v>
      </c>
    </row>
    <row r="682" spans="1:12" x14ac:dyDescent="0.2">
      <c r="A682" t="s">
        <v>992</v>
      </c>
      <c r="B682" s="1" t="d">
        <v>2025-06-30</v>
      </c>
      <c r="C682" s="1" t="str">
        <f t="shared" si="30"/>
        <v>June 2025</v>
      </c>
      <c r="D682" t="s">
        <v>334</v>
      </c>
      <c r="E682" t="s">
        <v>50</v>
      </c>
      <c r="F682" t="s">
        <v>1337</v>
      </c>
      <c r="G682" t="str">
        <f t="shared" si="31"/>
        <v>Non-Campaign</v>
      </c>
      <c r="H682">
        <v>2</v>
      </c>
      <c r="I682" s="4">
        <v>0.1</v>
      </c>
      <c r="J682">
        <v>665.96</v>
      </c>
      <c r="K682" s="6">
        <v>321.62</v>
      </c>
      <c r="L682" s="8">
        <f t="shared" si="32"/>
        <v>0.48294191843353951</v>
      </c>
    </row>
    <row r="683" spans="1:12" x14ac:dyDescent="0.2">
      <c r="A683" t="s">
        <v>993</v>
      </c>
      <c r="B683" s="1" t="d">
        <v>2025-04-22</v>
      </c>
      <c r="C683" s="1" t="str">
        <f t="shared" si="30"/>
        <v>April 2025</v>
      </c>
      <c r="D683" t="s">
        <v>342</v>
      </c>
      <c r="E683" t="s">
        <v>50</v>
      </c>
      <c r="F683" t="s">
        <v>1337</v>
      </c>
      <c r="G683" t="str">
        <f t="shared" si="31"/>
        <v>Non-Campaign</v>
      </c>
      <c r="H683">
        <v>3</v>
      </c>
      <c r="I683" s="4">
        <v>0.1</v>
      </c>
      <c r="J683">
        <v>998.95</v>
      </c>
      <c r="K683" s="6">
        <v>482.44</v>
      </c>
      <c r="L683" s="8">
        <f t="shared" si="32"/>
        <v>0.48294709444917161</v>
      </c>
    </row>
    <row r="684" spans="1:12" x14ac:dyDescent="0.2">
      <c r="A684" t="s">
        <v>994</v>
      </c>
      <c r="B684" s="1" t="d">
        <v>2025-02-22</v>
      </c>
      <c r="C684" s="1" t="str">
        <f t="shared" si="30"/>
        <v>February 2025</v>
      </c>
      <c r="D684" t="s">
        <v>526</v>
      </c>
      <c r="E684" t="s">
        <v>44</v>
      </c>
      <c r="F684" t="s">
        <v>1337</v>
      </c>
      <c r="G684" t="str">
        <f t="shared" si="31"/>
        <v>Non-Campaign</v>
      </c>
      <c r="H684">
        <v>2</v>
      </c>
      <c r="I684" s="4">
        <v>0.3</v>
      </c>
      <c r="J684">
        <v>225.02</v>
      </c>
      <c r="K684" s="6">
        <v>15.6</v>
      </c>
      <c r="L684" s="8">
        <f t="shared" si="32"/>
        <v>6.9327170918140599E-2</v>
      </c>
    </row>
    <row r="685" spans="1:12" x14ac:dyDescent="0.2">
      <c r="A685" t="s">
        <v>995</v>
      </c>
      <c r="B685" s="1" t="d">
        <v>2025-01-26</v>
      </c>
      <c r="C685" s="1" t="str">
        <f t="shared" si="30"/>
        <v>January 2025</v>
      </c>
      <c r="D685" t="s">
        <v>192</v>
      </c>
      <c r="E685" t="s">
        <v>85</v>
      </c>
      <c r="F685" t="s">
        <v>30</v>
      </c>
      <c r="G685" t="str">
        <f t="shared" si="31"/>
        <v>Campaign</v>
      </c>
      <c r="H685">
        <v>4</v>
      </c>
      <c r="I685" s="4">
        <v>0.3</v>
      </c>
      <c r="J685">
        <v>411.99</v>
      </c>
      <c r="K685" s="6">
        <v>118.51</v>
      </c>
      <c r="L685" s="8">
        <f t="shared" si="32"/>
        <v>0.28765261292749822</v>
      </c>
    </row>
    <row r="686" spans="1:12" x14ac:dyDescent="0.2">
      <c r="A686" t="s">
        <v>996</v>
      </c>
      <c r="B686" s="1" t="d">
        <v>2024-10-02</v>
      </c>
      <c r="C686" s="1" t="str">
        <f t="shared" si="30"/>
        <v>October 2024</v>
      </c>
      <c r="D686" t="s">
        <v>964</v>
      </c>
      <c r="E686" t="s">
        <v>23</v>
      </c>
      <c r="F686" t="s">
        <v>30</v>
      </c>
      <c r="G686" t="str">
        <f t="shared" si="31"/>
        <v>Campaign</v>
      </c>
      <c r="H686">
        <v>5</v>
      </c>
      <c r="I686" s="4">
        <v>0.15</v>
      </c>
      <c r="J686">
        <v>1115.92</v>
      </c>
      <c r="K686" s="6">
        <v>576.82000000000005</v>
      </c>
      <c r="L686" s="8">
        <f t="shared" si="32"/>
        <v>0.51690085310774969</v>
      </c>
    </row>
    <row r="687" spans="1:12" x14ac:dyDescent="0.2">
      <c r="A687" t="s">
        <v>997</v>
      </c>
      <c r="B687" s="1" t="d">
        <v>2024-09-30</v>
      </c>
      <c r="C687" s="1" t="str">
        <f t="shared" si="30"/>
        <v>September 2024</v>
      </c>
      <c r="D687" t="s">
        <v>69</v>
      </c>
      <c r="E687" t="s">
        <v>119</v>
      </c>
      <c r="F687" t="s">
        <v>12</v>
      </c>
      <c r="G687" t="str">
        <f t="shared" si="31"/>
        <v>Campaign</v>
      </c>
      <c r="H687">
        <v>2</v>
      </c>
      <c r="I687" s="4">
        <v>0.15</v>
      </c>
      <c r="J687">
        <v>212.96</v>
      </c>
      <c r="K687" s="6">
        <v>12.78</v>
      </c>
      <c r="L687" s="8">
        <f t="shared" si="32"/>
        <v>6.0011269722013517E-2</v>
      </c>
    </row>
    <row r="688" spans="1:12" x14ac:dyDescent="0.2">
      <c r="A688" t="s">
        <v>998</v>
      </c>
      <c r="B688" s="1" t="d">
        <v>2024-11-10</v>
      </c>
      <c r="C688" s="1" t="str">
        <f t="shared" si="30"/>
        <v>November 2024</v>
      </c>
      <c r="D688" t="s">
        <v>408</v>
      </c>
      <c r="E688" t="s">
        <v>119</v>
      </c>
      <c r="F688" t="s">
        <v>20</v>
      </c>
      <c r="G688" t="str">
        <f t="shared" si="31"/>
        <v>Campaign</v>
      </c>
      <c r="H688">
        <v>2</v>
      </c>
      <c r="I688" s="4">
        <v>0.15</v>
      </c>
      <c r="J688">
        <v>212.96</v>
      </c>
      <c r="K688" s="6">
        <v>12.78</v>
      </c>
      <c r="L688" s="8">
        <f t="shared" si="32"/>
        <v>6.0011269722013517E-2</v>
      </c>
    </row>
    <row r="689" spans="1:12" x14ac:dyDescent="0.2">
      <c r="A689" t="s">
        <v>999</v>
      </c>
      <c r="B689" s="1" t="d">
        <v>2025-05-28</v>
      </c>
      <c r="C689" s="1" t="str">
        <f t="shared" si="30"/>
        <v>May 2025</v>
      </c>
      <c r="D689" t="s">
        <v>383</v>
      </c>
      <c r="E689" t="s">
        <v>26</v>
      </c>
      <c r="F689" t="s">
        <v>20</v>
      </c>
      <c r="G689" t="str">
        <f t="shared" si="31"/>
        <v>Campaign</v>
      </c>
      <c r="H689">
        <v>3</v>
      </c>
      <c r="I689" s="4">
        <v>0.05</v>
      </c>
      <c r="J689">
        <v>634.17999999999995</v>
      </c>
      <c r="K689" s="6">
        <v>359.2</v>
      </c>
      <c r="L689" s="8">
        <f t="shared" si="32"/>
        <v>0.56640070642404372</v>
      </c>
    </row>
    <row r="690" spans="1:12" x14ac:dyDescent="0.2">
      <c r="A690" t="s">
        <v>1000</v>
      </c>
      <c r="B690" s="1" t="d">
        <v>2024-09-21</v>
      </c>
      <c r="C690" s="1" t="str">
        <f t="shared" si="30"/>
        <v>September 2024</v>
      </c>
      <c r="D690" t="s">
        <v>338</v>
      </c>
      <c r="E690" t="s">
        <v>26</v>
      </c>
      <c r="F690" t="s">
        <v>12</v>
      </c>
      <c r="G690" t="str">
        <f t="shared" si="31"/>
        <v>Campaign</v>
      </c>
      <c r="H690">
        <v>4</v>
      </c>
      <c r="I690" s="4">
        <v>0.15</v>
      </c>
      <c r="J690">
        <v>756.57</v>
      </c>
      <c r="K690" s="6">
        <v>389.93</v>
      </c>
      <c r="L690" s="8">
        <f t="shared" si="32"/>
        <v>0.51539183419908263</v>
      </c>
    </row>
    <row r="691" spans="1:12" x14ac:dyDescent="0.2">
      <c r="A691" t="s">
        <v>1001</v>
      </c>
      <c r="B691" s="1" t="d">
        <v>2024-07-21</v>
      </c>
      <c r="C691" s="1" t="str">
        <f t="shared" si="30"/>
        <v>July 2024</v>
      </c>
      <c r="D691" t="s">
        <v>324</v>
      </c>
      <c r="E691" t="s">
        <v>80</v>
      </c>
      <c r="F691" t="s">
        <v>12</v>
      </c>
      <c r="G691" t="str">
        <f t="shared" si="31"/>
        <v>Campaign</v>
      </c>
      <c r="H691">
        <v>2</v>
      </c>
      <c r="I691" s="4">
        <v>0.3</v>
      </c>
      <c r="J691">
        <v>205.76</v>
      </c>
      <c r="K691" s="6">
        <v>83.08</v>
      </c>
      <c r="L691" s="8">
        <f t="shared" si="32"/>
        <v>0.40377138413685848</v>
      </c>
    </row>
    <row r="692" spans="1:12" x14ac:dyDescent="0.2">
      <c r="A692" t="s">
        <v>1002</v>
      </c>
      <c r="B692" s="1" t="d">
        <v>2024-08-06</v>
      </c>
      <c r="C692" s="1" t="str">
        <f t="shared" si="30"/>
        <v>August 2024</v>
      </c>
      <c r="D692" t="s">
        <v>181</v>
      </c>
      <c r="E692" t="s">
        <v>11</v>
      </c>
      <c r="F692" t="s">
        <v>12</v>
      </c>
      <c r="G692" t="str">
        <f t="shared" si="31"/>
        <v>Campaign</v>
      </c>
      <c r="H692">
        <v>2</v>
      </c>
      <c r="I692" s="4">
        <v>0.3</v>
      </c>
      <c r="J692">
        <v>283.44</v>
      </c>
      <c r="K692" s="6">
        <v>48.04</v>
      </c>
      <c r="L692" s="8">
        <f t="shared" si="32"/>
        <v>0.16948913350268136</v>
      </c>
    </row>
    <row r="693" spans="1:12" x14ac:dyDescent="0.2">
      <c r="A693" t="s">
        <v>1003</v>
      </c>
      <c r="B693" s="1" t="d">
        <v>2025-04-14</v>
      </c>
      <c r="C693" s="1" t="str">
        <f t="shared" si="30"/>
        <v>April 2025</v>
      </c>
      <c r="D693" t="s">
        <v>71</v>
      </c>
      <c r="E693" t="s">
        <v>80</v>
      </c>
      <c r="F693" t="s">
        <v>30</v>
      </c>
      <c r="G693" t="str">
        <f t="shared" si="31"/>
        <v>Campaign</v>
      </c>
      <c r="H693">
        <v>1</v>
      </c>
      <c r="I693" s="4">
        <v>0.2</v>
      </c>
      <c r="J693">
        <v>117.58</v>
      </c>
      <c r="K693" s="6">
        <v>56.24</v>
      </c>
      <c r="L693" s="8">
        <f t="shared" si="32"/>
        <v>0.47831263820377617</v>
      </c>
    </row>
    <row r="694" spans="1:12" x14ac:dyDescent="0.2">
      <c r="A694" t="s">
        <v>1004</v>
      </c>
      <c r="B694" s="1" t="d">
        <v>2025-02-08</v>
      </c>
      <c r="C694" s="1" t="str">
        <f t="shared" si="30"/>
        <v>February 2025</v>
      </c>
      <c r="D694" t="s">
        <v>583</v>
      </c>
      <c r="E694" t="s">
        <v>38</v>
      </c>
      <c r="F694" t="s">
        <v>30</v>
      </c>
      <c r="G694" t="str">
        <f t="shared" si="31"/>
        <v>Campaign</v>
      </c>
      <c r="H694">
        <v>5</v>
      </c>
      <c r="I694" s="4">
        <v>0.05</v>
      </c>
      <c r="J694">
        <v>2230.5500000000002</v>
      </c>
      <c r="K694" s="6">
        <v>682.75</v>
      </c>
      <c r="L694" s="8">
        <f t="shared" si="32"/>
        <v>0.30609042612808496</v>
      </c>
    </row>
    <row r="695" spans="1:12" x14ac:dyDescent="0.2">
      <c r="A695" t="s">
        <v>1005</v>
      </c>
      <c r="B695" s="1" t="d">
        <v>2025-05-14</v>
      </c>
      <c r="C695" s="1" t="str">
        <f t="shared" si="30"/>
        <v>May 2025</v>
      </c>
      <c r="D695" t="s">
        <v>764</v>
      </c>
      <c r="E695" t="s">
        <v>44</v>
      </c>
      <c r="F695" t="s">
        <v>30</v>
      </c>
      <c r="G695" t="str">
        <f t="shared" si="31"/>
        <v>Campaign</v>
      </c>
      <c r="H695">
        <v>1</v>
      </c>
      <c r="I695" s="4">
        <v>0.05</v>
      </c>
      <c r="J695">
        <v>152.69</v>
      </c>
      <c r="K695" s="6">
        <v>47.98</v>
      </c>
      <c r="L695" s="8">
        <f t="shared" si="32"/>
        <v>0.31423144934180364</v>
      </c>
    </row>
    <row r="696" spans="1:12" x14ac:dyDescent="0.2">
      <c r="A696" t="s">
        <v>1006</v>
      </c>
      <c r="B696" s="1" t="d">
        <v>2025-05-30</v>
      </c>
      <c r="C696" s="1" t="str">
        <f t="shared" si="30"/>
        <v>May 2025</v>
      </c>
      <c r="D696" t="s">
        <v>572</v>
      </c>
      <c r="E696" t="s">
        <v>72</v>
      </c>
      <c r="F696" t="s">
        <v>1337</v>
      </c>
      <c r="G696" t="str">
        <f t="shared" si="31"/>
        <v>Non-Campaign</v>
      </c>
      <c r="H696">
        <v>3</v>
      </c>
      <c r="I696" s="4">
        <v>0.3</v>
      </c>
      <c r="J696">
        <v>135.49</v>
      </c>
      <c r="K696" s="6">
        <v>50.59</v>
      </c>
      <c r="L696" s="8">
        <f t="shared" si="32"/>
        <v>0.37338548970403718</v>
      </c>
    </row>
    <row r="697" spans="1:12" x14ac:dyDescent="0.2">
      <c r="A697" t="s">
        <v>1007</v>
      </c>
      <c r="B697" s="1" t="d">
        <v>2025-04-10</v>
      </c>
      <c r="C697" s="1" t="str">
        <f t="shared" si="30"/>
        <v>April 2025</v>
      </c>
      <c r="D697" t="s">
        <v>1008</v>
      </c>
      <c r="E697" t="s">
        <v>177</v>
      </c>
      <c r="F697" t="s">
        <v>30</v>
      </c>
      <c r="G697" t="str">
        <f t="shared" si="31"/>
        <v>Campaign</v>
      </c>
      <c r="H697">
        <v>5</v>
      </c>
      <c r="I697" s="4">
        <v>0</v>
      </c>
      <c r="J697">
        <v>561.5</v>
      </c>
      <c r="K697" s="6">
        <v>321.3</v>
      </c>
      <c r="L697" s="8">
        <f t="shared" si="32"/>
        <v>0.57221727515583265</v>
      </c>
    </row>
    <row r="698" spans="1:12" x14ac:dyDescent="0.2">
      <c r="A698" t="s">
        <v>1009</v>
      </c>
      <c r="B698" s="1" t="d">
        <v>2025-06-26</v>
      </c>
      <c r="C698" s="1" t="str">
        <f t="shared" si="30"/>
        <v>June 2025</v>
      </c>
      <c r="D698" t="s">
        <v>301</v>
      </c>
      <c r="E698" t="s">
        <v>138</v>
      </c>
      <c r="F698" t="s">
        <v>20</v>
      </c>
      <c r="G698" t="str">
        <f t="shared" si="31"/>
        <v>Campaign</v>
      </c>
      <c r="H698">
        <v>5</v>
      </c>
      <c r="I698" s="4">
        <v>0.1</v>
      </c>
      <c r="J698">
        <v>1949.26</v>
      </c>
      <c r="K698" s="6">
        <v>1072.96</v>
      </c>
      <c r="L698" s="8">
        <f t="shared" si="32"/>
        <v>0.55044478417450726</v>
      </c>
    </row>
    <row r="699" spans="1:12" x14ac:dyDescent="0.2">
      <c r="A699" t="s">
        <v>1010</v>
      </c>
      <c r="B699" s="1" t="d">
        <v>2024-11-07</v>
      </c>
      <c r="C699" s="1" t="str">
        <f t="shared" si="30"/>
        <v>November 2024</v>
      </c>
      <c r="D699" t="s">
        <v>342</v>
      </c>
      <c r="E699" t="s">
        <v>138</v>
      </c>
      <c r="F699" t="s">
        <v>1337</v>
      </c>
      <c r="G699" t="str">
        <f t="shared" si="31"/>
        <v>Non-Campaign</v>
      </c>
      <c r="H699">
        <v>3</v>
      </c>
      <c r="I699" s="4">
        <v>0.1</v>
      </c>
      <c r="J699">
        <v>1169.56</v>
      </c>
      <c r="K699" s="6">
        <v>643.78</v>
      </c>
      <c r="L699" s="8">
        <f t="shared" si="32"/>
        <v>0.55044632169362839</v>
      </c>
    </row>
    <row r="700" spans="1:12" x14ac:dyDescent="0.2">
      <c r="A700" t="s">
        <v>1011</v>
      </c>
      <c r="B700" s="1" t="d">
        <v>2024-08-10</v>
      </c>
      <c r="C700" s="1" t="str">
        <f t="shared" si="30"/>
        <v>August 2024</v>
      </c>
      <c r="D700" t="s">
        <v>141</v>
      </c>
      <c r="E700" t="s">
        <v>75</v>
      </c>
      <c r="F700" t="s">
        <v>30</v>
      </c>
      <c r="G700" t="str">
        <f t="shared" si="31"/>
        <v>Campaign</v>
      </c>
      <c r="H700">
        <v>4</v>
      </c>
      <c r="I700" s="4">
        <v>0.15</v>
      </c>
      <c r="J700">
        <v>597.24</v>
      </c>
      <c r="K700" s="6">
        <v>100.24</v>
      </c>
      <c r="L700" s="8">
        <f t="shared" si="32"/>
        <v>0.1678387248007501</v>
      </c>
    </row>
    <row r="701" spans="1:12" x14ac:dyDescent="0.2">
      <c r="A701" t="s">
        <v>1012</v>
      </c>
      <c r="B701" s="1" t="d">
        <v>2025-06-29</v>
      </c>
      <c r="C701" s="1" t="str">
        <f t="shared" si="30"/>
        <v>June 2025</v>
      </c>
      <c r="D701" t="s">
        <v>983</v>
      </c>
      <c r="E701" t="s">
        <v>29</v>
      </c>
      <c r="F701" t="s">
        <v>109</v>
      </c>
      <c r="G701" t="str">
        <f t="shared" si="31"/>
        <v>Campaign</v>
      </c>
      <c r="H701">
        <v>2</v>
      </c>
      <c r="I701" s="4">
        <v>0.15</v>
      </c>
      <c r="J701">
        <v>639.1</v>
      </c>
      <c r="K701" s="6">
        <v>264.7</v>
      </c>
      <c r="L701" s="8">
        <f t="shared" si="32"/>
        <v>0.41417618526052258</v>
      </c>
    </row>
    <row r="702" spans="1:12" x14ac:dyDescent="0.2">
      <c r="A702" t="s">
        <v>1013</v>
      </c>
      <c r="B702" s="1" t="d">
        <v>2024-09-19</v>
      </c>
      <c r="C702" s="1" t="str">
        <f t="shared" si="30"/>
        <v>September 2024</v>
      </c>
      <c r="D702" t="s">
        <v>1014</v>
      </c>
      <c r="E702" t="s">
        <v>23</v>
      </c>
      <c r="F702" t="s">
        <v>20</v>
      </c>
      <c r="G702" t="str">
        <f t="shared" si="31"/>
        <v>Campaign</v>
      </c>
      <c r="H702">
        <v>5</v>
      </c>
      <c r="I702" s="4">
        <v>0.1</v>
      </c>
      <c r="J702">
        <v>1181.56</v>
      </c>
      <c r="K702" s="6">
        <v>642.46</v>
      </c>
      <c r="L702" s="8">
        <f t="shared" si="32"/>
        <v>0.54373878601171344</v>
      </c>
    </row>
    <row r="703" spans="1:12" x14ac:dyDescent="0.2">
      <c r="A703" t="s">
        <v>1015</v>
      </c>
      <c r="B703" s="1" t="d">
        <v>2025-01-06</v>
      </c>
      <c r="C703" s="1" t="str">
        <f t="shared" si="30"/>
        <v>January 2025</v>
      </c>
      <c r="D703" t="s">
        <v>848</v>
      </c>
      <c r="E703" t="s">
        <v>23</v>
      </c>
      <c r="F703" t="s">
        <v>109</v>
      </c>
      <c r="G703" t="str">
        <f t="shared" si="31"/>
        <v>Campaign</v>
      </c>
      <c r="H703">
        <v>5</v>
      </c>
      <c r="I703" s="4">
        <v>0.2</v>
      </c>
      <c r="J703">
        <v>1050.28</v>
      </c>
      <c r="K703" s="6">
        <v>511.18</v>
      </c>
      <c r="L703" s="8">
        <f t="shared" si="32"/>
        <v>0.48670830635640022</v>
      </c>
    </row>
    <row r="704" spans="1:12" x14ac:dyDescent="0.2">
      <c r="A704" t="s">
        <v>1016</v>
      </c>
      <c r="B704" s="1" t="d">
        <v>2025-01-22</v>
      </c>
      <c r="C704" s="1" t="str">
        <f t="shared" si="30"/>
        <v>January 2025</v>
      </c>
      <c r="D704" t="s">
        <v>425</v>
      </c>
      <c r="E704" t="s">
        <v>53</v>
      </c>
      <c r="F704" t="s">
        <v>1337</v>
      </c>
      <c r="G704" t="str">
        <f t="shared" si="31"/>
        <v>Non-Campaign</v>
      </c>
      <c r="H704">
        <v>4</v>
      </c>
      <c r="I704" s="4">
        <v>0.2</v>
      </c>
      <c r="J704">
        <v>1070.75</v>
      </c>
      <c r="K704" s="6">
        <v>323.55</v>
      </c>
      <c r="L704" s="8">
        <f t="shared" si="32"/>
        <v>0.30217137520429604</v>
      </c>
    </row>
    <row r="705" spans="1:12" x14ac:dyDescent="0.2">
      <c r="A705" t="s">
        <v>1017</v>
      </c>
      <c r="B705" s="1" t="d">
        <v>2025-04-21</v>
      </c>
      <c r="C705" s="1" t="str">
        <f t="shared" si="30"/>
        <v>April 2025</v>
      </c>
      <c r="D705" t="s">
        <v>368</v>
      </c>
      <c r="E705" t="s">
        <v>47</v>
      </c>
      <c r="F705" t="s">
        <v>30</v>
      </c>
      <c r="G705" t="str">
        <f t="shared" si="31"/>
        <v>Campaign</v>
      </c>
      <c r="H705">
        <v>3</v>
      </c>
      <c r="I705" s="4">
        <v>0.15</v>
      </c>
      <c r="J705">
        <v>766.53</v>
      </c>
      <c r="K705" s="6">
        <v>81.96</v>
      </c>
      <c r="L705" s="8">
        <f t="shared" si="32"/>
        <v>0.10692340808578921</v>
      </c>
    </row>
    <row r="706" spans="1:12" x14ac:dyDescent="0.2">
      <c r="A706" t="s">
        <v>1018</v>
      </c>
      <c r="B706" s="1" t="d">
        <v>2025-05-14</v>
      </c>
      <c r="C706" s="1" t="str">
        <f t="shared" ref="C706:C769" si="33">TEXT(B706, "mmmm yyyy")</f>
        <v>May 2025</v>
      </c>
      <c r="D706" t="s">
        <v>223</v>
      </c>
      <c r="E706" t="s">
        <v>135</v>
      </c>
      <c r="F706" t="s">
        <v>12</v>
      </c>
      <c r="G706" t="str">
        <f t="shared" ref="G706:G769" si="34">IF(F706="No Campaign", "Non-Campaign", "Campaign")</f>
        <v>Campaign</v>
      </c>
      <c r="H706">
        <v>4</v>
      </c>
      <c r="I706" s="4">
        <v>0</v>
      </c>
      <c r="J706">
        <v>812.72</v>
      </c>
      <c r="K706" s="6">
        <v>163.80000000000001</v>
      </c>
      <c r="L706" s="8">
        <f t="shared" ref="L706:L769" si="35">IF(J706=0, 0,K706/J706)</f>
        <v>0.20154542769957673</v>
      </c>
    </row>
    <row r="707" spans="1:12" x14ac:dyDescent="0.2">
      <c r="A707" t="s">
        <v>1019</v>
      </c>
      <c r="B707" s="1" t="d">
        <v>2024-12-14</v>
      </c>
      <c r="C707" s="1" t="str">
        <f t="shared" si="33"/>
        <v>December 2024</v>
      </c>
      <c r="D707" t="s">
        <v>762</v>
      </c>
      <c r="E707" t="s">
        <v>26</v>
      </c>
      <c r="F707" t="s">
        <v>1337</v>
      </c>
      <c r="G707" t="str">
        <f t="shared" si="34"/>
        <v>Non-Campaign</v>
      </c>
      <c r="H707">
        <v>2</v>
      </c>
      <c r="I707" s="4">
        <v>0.3</v>
      </c>
      <c r="J707">
        <v>311.52999999999997</v>
      </c>
      <c r="K707" s="6">
        <v>128.21</v>
      </c>
      <c r="L707" s="8">
        <f t="shared" si="35"/>
        <v>0.4115494494912208</v>
      </c>
    </row>
    <row r="708" spans="1:12" x14ac:dyDescent="0.2">
      <c r="A708" t="s">
        <v>1020</v>
      </c>
      <c r="B708" s="1" t="d">
        <v>2025-02-10</v>
      </c>
      <c r="C708" s="1" t="str">
        <f t="shared" si="33"/>
        <v>February 2025</v>
      </c>
      <c r="D708" t="s">
        <v>959</v>
      </c>
      <c r="E708" t="s">
        <v>119</v>
      </c>
      <c r="F708" t="s">
        <v>1337</v>
      </c>
      <c r="G708" t="str">
        <f t="shared" si="34"/>
        <v>Non-Campaign</v>
      </c>
      <c r="H708">
        <v>4</v>
      </c>
      <c r="I708" s="4">
        <v>0.1</v>
      </c>
      <c r="J708">
        <v>450.97</v>
      </c>
      <c r="K708" s="6">
        <v>50.61</v>
      </c>
      <c r="L708" s="8">
        <f t="shared" si="35"/>
        <v>0.11222475996185999</v>
      </c>
    </row>
    <row r="709" spans="1:12" x14ac:dyDescent="0.2">
      <c r="A709" t="s">
        <v>1021</v>
      </c>
      <c r="B709" s="1" t="d">
        <v>2024-10-26</v>
      </c>
      <c r="C709" s="1" t="str">
        <f t="shared" si="33"/>
        <v>October 2024</v>
      </c>
      <c r="D709" t="s">
        <v>597</v>
      </c>
      <c r="E709" t="s">
        <v>50</v>
      </c>
      <c r="F709" t="s">
        <v>12</v>
      </c>
      <c r="G709" t="str">
        <f t="shared" si="34"/>
        <v>Campaign</v>
      </c>
      <c r="H709">
        <v>3</v>
      </c>
      <c r="I709" s="4">
        <v>0.05</v>
      </c>
      <c r="J709">
        <v>1054.44</v>
      </c>
      <c r="K709" s="6">
        <v>537.92999999999995</v>
      </c>
      <c r="L709" s="8">
        <f t="shared" si="35"/>
        <v>0.51015705018777735</v>
      </c>
    </row>
    <row r="710" spans="1:12" x14ac:dyDescent="0.2">
      <c r="A710" t="s">
        <v>1022</v>
      </c>
      <c r="B710" s="1" t="d">
        <v>2024-08-22</v>
      </c>
      <c r="C710" s="1" t="str">
        <f t="shared" si="33"/>
        <v>August 2024</v>
      </c>
      <c r="D710" t="s">
        <v>227</v>
      </c>
      <c r="E710" t="s">
        <v>26</v>
      </c>
      <c r="F710" t="s">
        <v>1337</v>
      </c>
      <c r="G710" t="str">
        <f t="shared" si="34"/>
        <v>Non-Campaign</v>
      </c>
      <c r="H710">
        <v>3</v>
      </c>
      <c r="I710" s="4">
        <v>0</v>
      </c>
      <c r="J710">
        <v>667.56</v>
      </c>
      <c r="K710" s="6">
        <v>392.58</v>
      </c>
      <c r="L710" s="8">
        <f t="shared" si="35"/>
        <v>0.58808197015998565</v>
      </c>
    </row>
    <row r="711" spans="1:12" x14ac:dyDescent="0.2">
      <c r="A711" t="s">
        <v>1023</v>
      </c>
      <c r="B711" s="1" t="d">
        <v>2024-10-24</v>
      </c>
      <c r="C711" s="1" t="str">
        <f t="shared" si="33"/>
        <v>October 2024</v>
      </c>
      <c r="D711" t="s">
        <v>600</v>
      </c>
      <c r="E711" t="s">
        <v>138</v>
      </c>
      <c r="F711" t="s">
        <v>16</v>
      </c>
      <c r="G711" t="str">
        <f t="shared" si="34"/>
        <v>Campaign</v>
      </c>
      <c r="H711">
        <v>4</v>
      </c>
      <c r="I711" s="4">
        <v>0.1</v>
      </c>
      <c r="J711">
        <v>1559.41</v>
      </c>
      <c r="K711" s="6">
        <v>858.37</v>
      </c>
      <c r="L711" s="8">
        <f t="shared" si="35"/>
        <v>0.55044536074541006</v>
      </c>
    </row>
    <row r="712" spans="1:12" x14ac:dyDescent="0.2">
      <c r="A712" t="s">
        <v>1024</v>
      </c>
      <c r="B712" s="1" t="d">
        <v>2024-12-12</v>
      </c>
      <c r="C712" s="1" t="str">
        <f t="shared" si="33"/>
        <v>December 2024</v>
      </c>
      <c r="D712" t="s">
        <v>447</v>
      </c>
      <c r="E712" t="s">
        <v>15</v>
      </c>
      <c r="F712" t="s">
        <v>109</v>
      </c>
      <c r="G712" t="str">
        <f t="shared" si="34"/>
        <v>Campaign</v>
      </c>
      <c r="H712">
        <v>2</v>
      </c>
      <c r="I712" s="4">
        <v>0.3</v>
      </c>
      <c r="J712">
        <v>569.51</v>
      </c>
      <c r="K712" s="6">
        <v>16.89</v>
      </c>
      <c r="L712" s="8">
        <f t="shared" si="35"/>
        <v>2.9657073624694913E-2</v>
      </c>
    </row>
    <row r="713" spans="1:12" x14ac:dyDescent="0.2">
      <c r="A713" t="s">
        <v>1025</v>
      </c>
      <c r="B713" s="1" t="d">
        <v>2025-03-16</v>
      </c>
      <c r="C713" s="1" t="str">
        <f t="shared" si="33"/>
        <v>March 2025</v>
      </c>
      <c r="D713" t="s">
        <v>1026</v>
      </c>
      <c r="E713" t="s">
        <v>106</v>
      </c>
      <c r="F713" t="s">
        <v>30</v>
      </c>
      <c r="G713" t="str">
        <f t="shared" si="34"/>
        <v>Campaign</v>
      </c>
      <c r="H713">
        <v>2</v>
      </c>
      <c r="I713" s="4">
        <v>0.3</v>
      </c>
      <c r="J713">
        <v>276.77</v>
      </c>
      <c r="K713" s="6">
        <v>85.49</v>
      </c>
      <c r="L713" s="8">
        <f t="shared" si="35"/>
        <v>0.30888463345015715</v>
      </c>
    </row>
    <row r="714" spans="1:12" x14ac:dyDescent="0.2">
      <c r="A714" t="s">
        <v>1027</v>
      </c>
      <c r="B714" s="1" t="d">
        <v>2024-07-25</v>
      </c>
      <c r="C714" s="1" t="str">
        <f t="shared" si="33"/>
        <v>July 2024</v>
      </c>
      <c r="D714" t="s">
        <v>315</v>
      </c>
      <c r="E714" t="s">
        <v>65</v>
      </c>
      <c r="F714" t="s">
        <v>109</v>
      </c>
      <c r="G714" t="str">
        <f t="shared" si="34"/>
        <v>Campaign</v>
      </c>
      <c r="H714">
        <v>2</v>
      </c>
      <c r="I714" s="4">
        <v>0.05</v>
      </c>
      <c r="J714">
        <v>183.9</v>
      </c>
      <c r="K714" s="6">
        <v>53.78</v>
      </c>
      <c r="L714" s="8">
        <f t="shared" si="35"/>
        <v>0.29244154431756392</v>
      </c>
    </row>
    <row r="715" spans="1:12" x14ac:dyDescent="0.2">
      <c r="A715" t="s">
        <v>1028</v>
      </c>
      <c r="B715" s="1" t="d">
        <v>2024-11-15</v>
      </c>
      <c r="C715" s="1" t="str">
        <f t="shared" si="33"/>
        <v>November 2024</v>
      </c>
      <c r="D715" t="s">
        <v>57</v>
      </c>
      <c r="E715" t="s">
        <v>130</v>
      </c>
      <c r="F715" t="s">
        <v>30</v>
      </c>
      <c r="G715" t="str">
        <f t="shared" si="34"/>
        <v>Campaign</v>
      </c>
      <c r="H715">
        <v>5</v>
      </c>
      <c r="I715" s="4">
        <v>0.1</v>
      </c>
      <c r="J715">
        <v>1722.51</v>
      </c>
      <c r="K715" s="6">
        <v>297.70999999999998</v>
      </c>
      <c r="L715" s="8">
        <f t="shared" si="35"/>
        <v>0.17283499079831174</v>
      </c>
    </row>
    <row r="716" spans="1:12" x14ac:dyDescent="0.2">
      <c r="A716" t="s">
        <v>1029</v>
      </c>
      <c r="B716" s="1" t="d">
        <v>2024-11-23</v>
      </c>
      <c r="C716" s="1" t="str">
        <f t="shared" si="33"/>
        <v>November 2024</v>
      </c>
      <c r="D716" t="s">
        <v>1030</v>
      </c>
      <c r="E716" t="s">
        <v>47</v>
      </c>
      <c r="F716" t="s">
        <v>20</v>
      </c>
      <c r="G716" t="str">
        <f t="shared" si="34"/>
        <v>Campaign</v>
      </c>
      <c r="H716">
        <v>1</v>
      </c>
      <c r="I716" s="4">
        <v>0</v>
      </c>
      <c r="J716">
        <v>300.60000000000002</v>
      </c>
      <c r="K716" s="6">
        <v>72.41</v>
      </c>
      <c r="L716" s="8">
        <f t="shared" si="35"/>
        <v>0.24088489687292081</v>
      </c>
    </row>
    <row r="717" spans="1:12" x14ac:dyDescent="0.2">
      <c r="A717" t="s">
        <v>1031</v>
      </c>
      <c r="B717" s="1" t="d">
        <v>2024-09-09</v>
      </c>
      <c r="C717" s="1" t="str">
        <f t="shared" si="33"/>
        <v>September 2024</v>
      </c>
      <c r="D717" t="s">
        <v>656</v>
      </c>
      <c r="E717" t="s">
        <v>75</v>
      </c>
      <c r="F717" t="s">
        <v>12</v>
      </c>
      <c r="G717" t="str">
        <f t="shared" si="34"/>
        <v>Campaign</v>
      </c>
      <c r="H717">
        <v>5</v>
      </c>
      <c r="I717" s="4">
        <v>0</v>
      </c>
      <c r="J717">
        <v>878.3</v>
      </c>
      <c r="K717" s="6">
        <v>257.05</v>
      </c>
      <c r="L717" s="8">
        <f t="shared" si="35"/>
        <v>0.29266765342138223</v>
      </c>
    </row>
    <row r="718" spans="1:12" x14ac:dyDescent="0.2">
      <c r="A718" t="s">
        <v>1032</v>
      </c>
      <c r="B718" s="1" t="d">
        <v>2024-12-10</v>
      </c>
      <c r="C718" s="1" t="str">
        <f t="shared" si="33"/>
        <v>December 2024</v>
      </c>
      <c r="D718" t="s">
        <v>808</v>
      </c>
      <c r="E718" t="s">
        <v>44</v>
      </c>
      <c r="F718" t="s">
        <v>1337</v>
      </c>
      <c r="G718" t="str">
        <f t="shared" si="34"/>
        <v>Non-Campaign</v>
      </c>
      <c r="H718">
        <v>4</v>
      </c>
      <c r="I718" s="4">
        <v>0.2</v>
      </c>
      <c r="J718">
        <v>514.34</v>
      </c>
      <c r="K718" s="6">
        <v>95.5</v>
      </c>
      <c r="L718" s="8">
        <f t="shared" si="35"/>
        <v>0.18567484543298207</v>
      </c>
    </row>
    <row r="719" spans="1:12" x14ac:dyDescent="0.2">
      <c r="A719" t="s">
        <v>1033</v>
      </c>
      <c r="B719" s="1" t="d">
        <v>2024-10-08</v>
      </c>
      <c r="C719" s="1" t="str">
        <f t="shared" si="33"/>
        <v>October 2024</v>
      </c>
      <c r="D719" t="s">
        <v>87</v>
      </c>
      <c r="E719" t="s">
        <v>106</v>
      </c>
      <c r="F719" t="s">
        <v>16</v>
      </c>
      <c r="G719" t="str">
        <f t="shared" si="34"/>
        <v>Campaign</v>
      </c>
      <c r="H719">
        <v>5</v>
      </c>
      <c r="I719" s="4">
        <v>0.1</v>
      </c>
      <c r="J719">
        <v>889.6</v>
      </c>
      <c r="K719" s="6">
        <v>411.4</v>
      </c>
      <c r="L719" s="8">
        <f t="shared" si="35"/>
        <v>0.46245503597122301</v>
      </c>
    </row>
    <row r="720" spans="1:12" x14ac:dyDescent="0.2">
      <c r="A720" t="s">
        <v>1034</v>
      </c>
      <c r="B720" s="1" t="d">
        <v>2025-03-21</v>
      </c>
      <c r="C720" s="1" t="str">
        <f t="shared" si="33"/>
        <v>March 2025</v>
      </c>
      <c r="D720" t="s">
        <v>127</v>
      </c>
      <c r="E720" t="s">
        <v>103</v>
      </c>
      <c r="F720" t="s">
        <v>16</v>
      </c>
      <c r="G720" t="str">
        <f t="shared" si="34"/>
        <v>Campaign</v>
      </c>
      <c r="H720">
        <v>1</v>
      </c>
      <c r="I720" s="4">
        <v>0.2</v>
      </c>
      <c r="J720">
        <v>75.7</v>
      </c>
      <c r="K720" s="6">
        <v>1.62</v>
      </c>
      <c r="L720" s="8">
        <f t="shared" si="35"/>
        <v>2.1400264200792603E-2</v>
      </c>
    </row>
    <row r="721" spans="1:12" x14ac:dyDescent="0.2">
      <c r="A721" t="s">
        <v>1035</v>
      </c>
      <c r="B721" s="1" t="d">
        <v>2025-02-13</v>
      </c>
      <c r="C721" s="1" t="str">
        <f t="shared" si="33"/>
        <v>February 2025</v>
      </c>
      <c r="D721" t="s">
        <v>867</v>
      </c>
      <c r="E721" t="s">
        <v>106</v>
      </c>
      <c r="F721" t="s">
        <v>12</v>
      </c>
      <c r="G721" t="str">
        <f t="shared" si="34"/>
        <v>Campaign</v>
      </c>
      <c r="H721">
        <v>5</v>
      </c>
      <c r="I721" s="4">
        <v>0.1</v>
      </c>
      <c r="J721">
        <v>889.6</v>
      </c>
      <c r="K721" s="6">
        <v>411.4</v>
      </c>
      <c r="L721" s="8">
        <f t="shared" si="35"/>
        <v>0.46245503597122301</v>
      </c>
    </row>
    <row r="722" spans="1:12" x14ac:dyDescent="0.2">
      <c r="A722" t="s">
        <v>1036</v>
      </c>
      <c r="B722" s="1" t="d">
        <v>2024-10-19</v>
      </c>
      <c r="C722" s="1" t="str">
        <f t="shared" si="33"/>
        <v>October 2024</v>
      </c>
      <c r="D722" t="s">
        <v>516</v>
      </c>
      <c r="E722" t="s">
        <v>65</v>
      </c>
      <c r="F722" t="s">
        <v>16</v>
      </c>
      <c r="G722" t="str">
        <f t="shared" si="34"/>
        <v>Campaign</v>
      </c>
      <c r="H722">
        <v>4</v>
      </c>
      <c r="I722" s="4">
        <v>0</v>
      </c>
      <c r="J722">
        <v>387.16</v>
      </c>
      <c r="K722" s="6">
        <v>126.92</v>
      </c>
      <c r="L722" s="8">
        <f t="shared" si="35"/>
        <v>0.32782312222337018</v>
      </c>
    </row>
    <row r="723" spans="1:12" x14ac:dyDescent="0.2">
      <c r="A723" t="s">
        <v>1037</v>
      </c>
      <c r="B723" s="1" t="d">
        <v>2025-05-28</v>
      </c>
      <c r="C723" s="1" t="str">
        <f t="shared" si="33"/>
        <v>May 2025</v>
      </c>
      <c r="D723" t="s">
        <v>71</v>
      </c>
      <c r="E723" t="s">
        <v>11</v>
      </c>
      <c r="F723" t="s">
        <v>1337</v>
      </c>
      <c r="G723" t="str">
        <f t="shared" si="34"/>
        <v>Non-Campaign</v>
      </c>
      <c r="H723">
        <v>1</v>
      </c>
      <c r="I723" s="4">
        <v>0</v>
      </c>
      <c r="J723">
        <v>202.46</v>
      </c>
      <c r="K723" s="6">
        <v>84.76</v>
      </c>
      <c r="L723" s="8">
        <f t="shared" si="35"/>
        <v>0.41865059764891832</v>
      </c>
    </row>
    <row r="724" spans="1:12" x14ac:dyDescent="0.2">
      <c r="A724" t="s">
        <v>1038</v>
      </c>
      <c r="B724" s="1" t="d">
        <v>2025-01-17</v>
      </c>
      <c r="C724" s="1" t="str">
        <f t="shared" si="33"/>
        <v>January 2025</v>
      </c>
      <c r="D724" t="s">
        <v>439</v>
      </c>
      <c r="E724" t="s">
        <v>177</v>
      </c>
      <c r="F724" t="s">
        <v>20</v>
      </c>
      <c r="G724" t="str">
        <f t="shared" si="34"/>
        <v>Campaign</v>
      </c>
      <c r="H724">
        <v>3</v>
      </c>
      <c r="I724" s="4">
        <v>0.1</v>
      </c>
      <c r="J724">
        <v>303.20999999999998</v>
      </c>
      <c r="K724" s="6">
        <v>159.09</v>
      </c>
      <c r="L724" s="8">
        <f t="shared" si="35"/>
        <v>0.52468586128425854</v>
      </c>
    </row>
    <row r="725" spans="1:12" x14ac:dyDescent="0.2">
      <c r="A725" t="s">
        <v>1039</v>
      </c>
      <c r="B725" s="1" t="d">
        <v>2024-12-21</v>
      </c>
      <c r="C725" s="1" t="str">
        <f t="shared" si="33"/>
        <v>December 2024</v>
      </c>
      <c r="D725" t="s">
        <v>762</v>
      </c>
      <c r="E725" t="s">
        <v>35</v>
      </c>
      <c r="F725" t="s">
        <v>109</v>
      </c>
      <c r="G725" t="str">
        <f t="shared" si="34"/>
        <v>Campaign</v>
      </c>
      <c r="H725">
        <v>2</v>
      </c>
      <c r="I725" s="4">
        <v>0.1</v>
      </c>
      <c r="J725">
        <v>545.13</v>
      </c>
      <c r="K725" s="6">
        <v>106.75</v>
      </c>
      <c r="L725" s="8">
        <f t="shared" si="35"/>
        <v>0.19582484911855888</v>
      </c>
    </row>
    <row r="726" spans="1:12" x14ac:dyDescent="0.2">
      <c r="A726" t="s">
        <v>1040</v>
      </c>
      <c r="B726" s="1" t="d">
        <v>2024-07-24</v>
      </c>
      <c r="C726" s="1" t="str">
        <f t="shared" si="33"/>
        <v>July 2024</v>
      </c>
      <c r="D726" t="s">
        <v>243</v>
      </c>
      <c r="E726" t="s">
        <v>75</v>
      </c>
      <c r="F726" t="s">
        <v>1337</v>
      </c>
      <c r="G726" t="str">
        <f t="shared" si="34"/>
        <v>Non-Campaign</v>
      </c>
      <c r="H726">
        <v>3</v>
      </c>
      <c r="I726" s="4">
        <v>0.05</v>
      </c>
      <c r="J726">
        <v>500.63</v>
      </c>
      <c r="K726" s="6">
        <v>127.88</v>
      </c>
      <c r="L726" s="8">
        <f t="shared" si="35"/>
        <v>0.25543814793360364</v>
      </c>
    </row>
    <row r="727" spans="1:12" x14ac:dyDescent="0.2">
      <c r="A727" t="s">
        <v>1041</v>
      </c>
      <c r="B727" s="1" t="d">
        <v>2025-01-05</v>
      </c>
      <c r="C727" s="1" t="str">
        <f t="shared" si="33"/>
        <v>January 2025</v>
      </c>
      <c r="D727" t="s">
        <v>441</v>
      </c>
      <c r="E727" t="s">
        <v>19</v>
      </c>
      <c r="F727" t="s">
        <v>30</v>
      </c>
      <c r="G727" t="str">
        <f t="shared" si="34"/>
        <v>Campaign</v>
      </c>
      <c r="H727">
        <v>4</v>
      </c>
      <c r="I727" s="4">
        <v>0.3</v>
      </c>
      <c r="J727">
        <v>444.95</v>
      </c>
      <c r="K727" s="6">
        <v>170.39</v>
      </c>
      <c r="L727" s="8">
        <f t="shared" si="35"/>
        <v>0.38294190358467239</v>
      </c>
    </row>
    <row r="728" spans="1:12" x14ac:dyDescent="0.2">
      <c r="A728" t="s">
        <v>1042</v>
      </c>
      <c r="B728" s="1" t="d">
        <v>2024-12-01</v>
      </c>
      <c r="C728" s="1" t="str">
        <f t="shared" si="33"/>
        <v>December 2024</v>
      </c>
      <c r="D728" t="s">
        <v>1043</v>
      </c>
      <c r="E728" t="s">
        <v>44</v>
      </c>
      <c r="F728" t="s">
        <v>1337</v>
      </c>
      <c r="G728" t="str">
        <f t="shared" si="34"/>
        <v>Non-Campaign</v>
      </c>
      <c r="H728">
        <v>3</v>
      </c>
      <c r="I728" s="4">
        <v>0.15</v>
      </c>
      <c r="J728">
        <v>409.86</v>
      </c>
      <c r="K728" s="6">
        <v>95.73</v>
      </c>
      <c r="L728" s="8">
        <f t="shared" si="35"/>
        <v>0.23356755965451617</v>
      </c>
    </row>
    <row r="729" spans="1:12" x14ac:dyDescent="0.2">
      <c r="A729" t="s">
        <v>1044</v>
      </c>
      <c r="B729" s="1" t="d">
        <v>2025-01-24</v>
      </c>
      <c r="C729" s="1" t="str">
        <f t="shared" si="33"/>
        <v>January 2025</v>
      </c>
      <c r="D729" t="s">
        <v>437</v>
      </c>
      <c r="E729" t="s">
        <v>148</v>
      </c>
      <c r="F729" t="s">
        <v>16</v>
      </c>
      <c r="G729" t="str">
        <f t="shared" si="34"/>
        <v>Campaign</v>
      </c>
      <c r="H729">
        <v>5</v>
      </c>
      <c r="I729" s="4">
        <v>0.3</v>
      </c>
      <c r="J729">
        <v>1732.4</v>
      </c>
      <c r="K729" s="6">
        <v>108.9</v>
      </c>
      <c r="L729" s="8">
        <f t="shared" si="35"/>
        <v>6.2860771184483952E-2</v>
      </c>
    </row>
    <row r="730" spans="1:12" x14ac:dyDescent="0.2">
      <c r="A730" t="s">
        <v>1045</v>
      </c>
      <c r="B730" s="1" t="d">
        <v>2025-05-07</v>
      </c>
      <c r="C730" s="1" t="str">
        <f t="shared" si="33"/>
        <v>May 2025</v>
      </c>
      <c r="D730" t="s">
        <v>959</v>
      </c>
      <c r="E730" t="s">
        <v>130</v>
      </c>
      <c r="F730" t="s">
        <v>20</v>
      </c>
      <c r="G730" t="str">
        <f t="shared" si="34"/>
        <v>Campaign</v>
      </c>
      <c r="H730">
        <v>3</v>
      </c>
      <c r="I730" s="4">
        <v>0.05</v>
      </c>
      <c r="J730">
        <v>1090.92</v>
      </c>
      <c r="K730" s="6">
        <v>236.04</v>
      </c>
      <c r="L730" s="8">
        <f t="shared" si="35"/>
        <v>0.21636783632163675</v>
      </c>
    </row>
    <row r="731" spans="1:12" x14ac:dyDescent="0.2">
      <c r="A731" t="s">
        <v>1046</v>
      </c>
      <c r="B731" s="1" t="d">
        <v>2025-02-21</v>
      </c>
      <c r="C731" s="1" t="str">
        <f t="shared" si="33"/>
        <v>February 2025</v>
      </c>
      <c r="D731" t="s">
        <v>917</v>
      </c>
      <c r="E731" t="s">
        <v>19</v>
      </c>
      <c r="F731" t="s">
        <v>1337</v>
      </c>
      <c r="G731" t="str">
        <f t="shared" si="34"/>
        <v>Non-Campaign</v>
      </c>
      <c r="H731">
        <v>2</v>
      </c>
      <c r="I731" s="4">
        <v>0.05</v>
      </c>
      <c r="J731">
        <v>301.93</v>
      </c>
      <c r="K731" s="6">
        <v>164.65</v>
      </c>
      <c r="L731" s="8">
        <f t="shared" si="35"/>
        <v>0.54532507534859076</v>
      </c>
    </row>
    <row r="732" spans="1:12" x14ac:dyDescent="0.2">
      <c r="A732" t="s">
        <v>1047</v>
      </c>
      <c r="B732" s="1" t="d">
        <v>2024-07-12</v>
      </c>
      <c r="C732" s="1" t="str">
        <f t="shared" si="33"/>
        <v>July 2024</v>
      </c>
      <c r="D732" t="s">
        <v>287</v>
      </c>
      <c r="E732" t="s">
        <v>106</v>
      </c>
      <c r="F732" t="s">
        <v>12</v>
      </c>
      <c r="G732" t="str">
        <f t="shared" si="34"/>
        <v>Campaign</v>
      </c>
      <c r="H732">
        <v>2</v>
      </c>
      <c r="I732" s="4">
        <v>0.15</v>
      </c>
      <c r="J732">
        <v>336.07</v>
      </c>
      <c r="K732" s="6">
        <v>144.79</v>
      </c>
      <c r="L732" s="8">
        <f t="shared" si="35"/>
        <v>0.4308328622013271</v>
      </c>
    </row>
    <row r="733" spans="1:12" x14ac:dyDescent="0.2">
      <c r="A733" t="s">
        <v>1048</v>
      </c>
      <c r="B733" s="1" t="d">
        <v>2025-05-05</v>
      </c>
      <c r="C733" s="1" t="str">
        <f t="shared" si="33"/>
        <v>May 2025</v>
      </c>
      <c r="D733" t="s">
        <v>441</v>
      </c>
      <c r="E733" t="s">
        <v>193</v>
      </c>
      <c r="F733" t="s">
        <v>1337</v>
      </c>
      <c r="G733" t="str">
        <f t="shared" si="34"/>
        <v>Non-Campaign</v>
      </c>
      <c r="H733">
        <v>4</v>
      </c>
      <c r="I733" s="4">
        <v>0.1</v>
      </c>
      <c r="J733">
        <v>1194.98</v>
      </c>
      <c r="K733" s="6">
        <v>374.46</v>
      </c>
      <c r="L733" s="8">
        <f t="shared" si="35"/>
        <v>0.31336089306934006</v>
      </c>
    </row>
    <row r="734" spans="1:12" x14ac:dyDescent="0.2">
      <c r="A734" t="s">
        <v>1049</v>
      </c>
      <c r="B734" s="1" t="d">
        <v>2024-08-11</v>
      </c>
      <c r="C734" s="1" t="str">
        <f t="shared" si="33"/>
        <v>August 2024</v>
      </c>
      <c r="D734" t="s">
        <v>425</v>
      </c>
      <c r="E734" t="s">
        <v>50</v>
      </c>
      <c r="F734" t="s">
        <v>12</v>
      </c>
      <c r="G734" t="str">
        <f t="shared" si="34"/>
        <v>Campaign</v>
      </c>
      <c r="H734">
        <v>4</v>
      </c>
      <c r="I734" s="4">
        <v>0</v>
      </c>
      <c r="J734">
        <v>1479.92</v>
      </c>
      <c r="K734" s="6">
        <v>791.24</v>
      </c>
      <c r="L734" s="8">
        <f t="shared" si="35"/>
        <v>0.53465052164981886</v>
      </c>
    </row>
    <row r="735" spans="1:12" x14ac:dyDescent="0.2">
      <c r="A735" t="s">
        <v>1050</v>
      </c>
      <c r="B735" s="1" t="d">
        <v>2025-05-04</v>
      </c>
      <c r="C735" s="1" t="str">
        <f t="shared" si="33"/>
        <v>May 2025</v>
      </c>
      <c r="D735" t="s">
        <v>260</v>
      </c>
      <c r="E735" t="s">
        <v>58</v>
      </c>
      <c r="F735" t="s">
        <v>30</v>
      </c>
      <c r="G735" t="str">
        <f t="shared" si="34"/>
        <v>Campaign</v>
      </c>
      <c r="H735">
        <v>3</v>
      </c>
      <c r="I735" s="4">
        <v>0.15</v>
      </c>
      <c r="J735">
        <v>176.46</v>
      </c>
      <c r="K735" s="6">
        <v>31.92</v>
      </c>
      <c r="L735" s="8">
        <f t="shared" si="35"/>
        <v>0.18089085345120706</v>
      </c>
    </row>
    <row r="736" spans="1:12" x14ac:dyDescent="0.2">
      <c r="A736" t="s">
        <v>1051</v>
      </c>
      <c r="B736" s="1" t="d">
        <v>2025-06-21</v>
      </c>
      <c r="C736" s="1" t="str">
        <f t="shared" si="33"/>
        <v>June 2025</v>
      </c>
      <c r="D736" t="s">
        <v>373</v>
      </c>
      <c r="E736" t="s">
        <v>11</v>
      </c>
      <c r="F736" t="s">
        <v>1337</v>
      </c>
      <c r="G736" t="str">
        <f t="shared" si="34"/>
        <v>Non-Campaign</v>
      </c>
      <c r="H736">
        <v>3</v>
      </c>
      <c r="I736" s="4">
        <v>0.1</v>
      </c>
      <c r="J736">
        <v>546.64</v>
      </c>
      <c r="K736" s="6">
        <v>193.54</v>
      </c>
      <c r="L736" s="8">
        <f t="shared" si="35"/>
        <v>0.35405385628567249</v>
      </c>
    </row>
    <row r="737" spans="1:12" x14ac:dyDescent="0.2">
      <c r="A737" t="s">
        <v>1052</v>
      </c>
      <c r="B737" s="1" t="d">
        <v>2025-06-04</v>
      </c>
      <c r="C737" s="1" t="str">
        <f t="shared" si="33"/>
        <v>June 2025</v>
      </c>
      <c r="D737" t="s">
        <v>273</v>
      </c>
      <c r="E737" t="s">
        <v>50</v>
      </c>
      <c r="F737" t="s">
        <v>109</v>
      </c>
      <c r="G737" t="str">
        <f t="shared" si="34"/>
        <v>Campaign</v>
      </c>
      <c r="H737">
        <v>3</v>
      </c>
      <c r="I737" s="4">
        <v>0</v>
      </c>
      <c r="J737">
        <v>1109.94</v>
      </c>
      <c r="K737" s="6">
        <v>593.42999999999995</v>
      </c>
      <c r="L737" s="8">
        <f t="shared" si="35"/>
        <v>0.53465052164981886</v>
      </c>
    </row>
    <row r="738" spans="1:12" x14ac:dyDescent="0.2">
      <c r="A738" t="s">
        <v>1053</v>
      </c>
      <c r="B738" s="1" t="d">
        <v>2024-11-06</v>
      </c>
      <c r="C738" s="1" t="str">
        <f t="shared" si="33"/>
        <v>November 2024</v>
      </c>
      <c r="D738" t="s">
        <v>720</v>
      </c>
      <c r="E738" t="s">
        <v>23</v>
      </c>
      <c r="F738" t="s">
        <v>1337</v>
      </c>
      <c r="G738" t="str">
        <f t="shared" si="34"/>
        <v>Non-Campaign</v>
      </c>
      <c r="H738">
        <v>5</v>
      </c>
      <c r="I738" s="4">
        <v>0.05</v>
      </c>
      <c r="J738">
        <v>1247.21</v>
      </c>
      <c r="K738" s="6">
        <v>708.11</v>
      </c>
      <c r="L738" s="8">
        <f t="shared" si="35"/>
        <v>0.56775522967262926</v>
      </c>
    </row>
    <row r="739" spans="1:12" x14ac:dyDescent="0.2">
      <c r="A739" t="s">
        <v>1054</v>
      </c>
      <c r="B739" s="1" t="d">
        <v>2024-10-09</v>
      </c>
      <c r="C739" s="1" t="str">
        <f t="shared" si="33"/>
        <v>October 2024</v>
      </c>
      <c r="D739" t="s">
        <v>526</v>
      </c>
      <c r="E739" t="s">
        <v>148</v>
      </c>
      <c r="F739" t="s">
        <v>16</v>
      </c>
      <c r="G739" t="str">
        <f t="shared" si="34"/>
        <v>Campaign</v>
      </c>
      <c r="H739">
        <v>3</v>
      </c>
      <c r="I739" s="4">
        <v>0.1</v>
      </c>
      <c r="J739">
        <v>1336.42</v>
      </c>
      <c r="K739" s="6">
        <v>362.32</v>
      </c>
      <c r="L739" s="8">
        <f t="shared" si="35"/>
        <v>0.27111237485221712</v>
      </c>
    </row>
    <row r="740" spans="1:12" x14ac:dyDescent="0.2">
      <c r="A740" t="s">
        <v>1055</v>
      </c>
      <c r="B740" s="1" t="d">
        <v>2024-12-30</v>
      </c>
      <c r="C740" s="1" t="str">
        <f t="shared" si="33"/>
        <v>December 2024</v>
      </c>
      <c r="D740" t="s">
        <v>416</v>
      </c>
      <c r="E740" t="s">
        <v>96</v>
      </c>
      <c r="F740" t="s">
        <v>1337</v>
      </c>
      <c r="G740" t="str">
        <f t="shared" si="34"/>
        <v>Non-Campaign</v>
      </c>
      <c r="H740">
        <v>4</v>
      </c>
      <c r="I740" s="4">
        <v>0</v>
      </c>
      <c r="J740">
        <v>207.08</v>
      </c>
      <c r="K740" s="6">
        <v>48.6</v>
      </c>
      <c r="L740" s="8">
        <f t="shared" si="35"/>
        <v>0.23469190650956151</v>
      </c>
    </row>
    <row r="741" spans="1:12" x14ac:dyDescent="0.2">
      <c r="A741" t="s">
        <v>1056</v>
      </c>
      <c r="B741" s="1" t="d">
        <v>2024-12-07</v>
      </c>
      <c r="C741" s="1" t="str">
        <f t="shared" si="33"/>
        <v>December 2024</v>
      </c>
      <c r="D741" t="s">
        <v>304</v>
      </c>
      <c r="E741" t="s">
        <v>75</v>
      </c>
      <c r="F741" t="s">
        <v>109</v>
      </c>
      <c r="G741" t="str">
        <f t="shared" si="34"/>
        <v>Campaign</v>
      </c>
      <c r="H741">
        <v>4</v>
      </c>
      <c r="I741" s="4">
        <v>0.3</v>
      </c>
      <c r="J741">
        <v>491.85</v>
      </c>
      <c r="K741" s="6">
        <v>-5.15</v>
      </c>
      <c r="L741" s="8">
        <f t="shared" si="35"/>
        <v>-1.0470671952831148E-2</v>
      </c>
    </row>
    <row r="742" spans="1:12" x14ac:dyDescent="0.2">
      <c r="A742" t="s">
        <v>1057</v>
      </c>
      <c r="B742" s="1" t="d">
        <v>2024-07-14</v>
      </c>
      <c r="C742" s="1" t="str">
        <f t="shared" si="33"/>
        <v>July 2024</v>
      </c>
      <c r="D742" t="s">
        <v>232</v>
      </c>
      <c r="E742" t="s">
        <v>65</v>
      </c>
      <c r="F742" t="s">
        <v>16</v>
      </c>
      <c r="G742" t="str">
        <f t="shared" si="34"/>
        <v>Campaign</v>
      </c>
      <c r="H742">
        <v>3</v>
      </c>
      <c r="I742" s="4">
        <v>0.15</v>
      </c>
      <c r="J742">
        <v>246.81</v>
      </c>
      <c r="K742" s="6">
        <v>51.63</v>
      </c>
      <c r="L742" s="8">
        <f t="shared" si="35"/>
        <v>0.20918925489242737</v>
      </c>
    </row>
    <row r="743" spans="1:12" x14ac:dyDescent="0.2">
      <c r="A743" t="s">
        <v>1058</v>
      </c>
      <c r="B743" s="1" t="d">
        <v>2024-09-12</v>
      </c>
      <c r="C743" s="1" t="str">
        <f t="shared" si="33"/>
        <v>September 2024</v>
      </c>
      <c r="D743" t="s">
        <v>419</v>
      </c>
      <c r="E743" t="s">
        <v>177</v>
      </c>
      <c r="F743" t="s">
        <v>20</v>
      </c>
      <c r="G743" t="str">
        <f t="shared" si="34"/>
        <v>Campaign</v>
      </c>
      <c r="H743">
        <v>1</v>
      </c>
      <c r="I743" s="4">
        <v>0.05</v>
      </c>
      <c r="J743">
        <v>106.68</v>
      </c>
      <c r="K743" s="6">
        <v>58.64</v>
      </c>
      <c r="L743" s="8">
        <f t="shared" si="35"/>
        <v>0.54968128983877007</v>
      </c>
    </row>
    <row r="744" spans="1:12" x14ac:dyDescent="0.2">
      <c r="A744" t="s">
        <v>1059</v>
      </c>
      <c r="B744" s="1" t="d">
        <v>2025-06-23</v>
      </c>
      <c r="C744" s="1" t="str">
        <f t="shared" si="33"/>
        <v>June 2025</v>
      </c>
      <c r="D744" t="s">
        <v>458</v>
      </c>
      <c r="E744" t="s">
        <v>103</v>
      </c>
      <c r="F744" t="s">
        <v>1337</v>
      </c>
      <c r="G744" t="str">
        <f t="shared" si="34"/>
        <v>Non-Campaign</v>
      </c>
      <c r="H744">
        <v>3</v>
      </c>
      <c r="I744" s="4">
        <v>0.3</v>
      </c>
      <c r="J744">
        <v>198.72</v>
      </c>
      <c r="K744" s="6">
        <v>-23.52</v>
      </c>
      <c r="L744" s="8">
        <f t="shared" si="35"/>
        <v>-0.11835748792270531</v>
      </c>
    </row>
    <row r="745" spans="1:12" x14ac:dyDescent="0.2">
      <c r="A745" t="s">
        <v>1060</v>
      </c>
      <c r="B745" s="1" t="d">
        <v>2024-08-11</v>
      </c>
      <c r="C745" s="1" t="str">
        <f t="shared" si="33"/>
        <v>August 2024</v>
      </c>
      <c r="D745" t="s">
        <v>602</v>
      </c>
      <c r="E745" t="s">
        <v>53</v>
      </c>
      <c r="F745" t="s">
        <v>109</v>
      </c>
      <c r="G745" t="str">
        <f t="shared" si="34"/>
        <v>Campaign</v>
      </c>
      <c r="H745">
        <v>5</v>
      </c>
      <c r="I745" s="4">
        <v>0.3</v>
      </c>
      <c r="J745">
        <v>1171.1400000000001</v>
      </c>
      <c r="K745" s="6">
        <v>237.14</v>
      </c>
      <c r="L745" s="8">
        <f t="shared" si="35"/>
        <v>0.20248646617825364</v>
      </c>
    </row>
    <row r="746" spans="1:12" x14ac:dyDescent="0.2">
      <c r="A746" t="s">
        <v>1061</v>
      </c>
      <c r="B746" s="1" t="d">
        <v>2024-06-30</v>
      </c>
      <c r="C746" s="1" t="str">
        <f t="shared" si="33"/>
        <v>June 2024</v>
      </c>
      <c r="D746" t="s">
        <v>1008</v>
      </c>
      <c r="E746" t="s">
        <v>72</v>
      </c>
      <c r="F746" t="s">
        <v>1337</v>
      </c>
      <c r="G746" t="str">
        <f t="shared" si="34"/>
        <v>Non-Campaign</v>
      </c>
      <c r="H746">
        <v>3</v>
      </c>
      <c r="I746" s="4">
        <v>0.3</v>
      </c>
      <c r="J746">
        <v>135.49</v>
      </c>
      <c r="K746" s="6">
        <v>50.59</v>
      </c>
      <c r="L746" s="8">
        <f t="shared" si="35"/>
        <v>0.37338548970403718</v>
      </c>
    </row>
    <row r="747" spans="1:12" x14ac:dyDescent="0.2">
      <c r="A747" t="s">
        <v>1062</v>
      </c>
      <c r="B747" s="1" t="d">
        <v>2025-04-25</v>
      </c>
      <c r="C747" s="1" t="str">
        <f t="shared" si="33"/>
        <v>April 2025</v>
      </c>
      <c r="D747" t="s">
        <v>324</v>
      </c>
      <c r="E747" t="s">
        <v>11</v>
      </c>
      <c r="F747" t="s">
        <v>1337</v>
      </c>
      <c r="G747" t="str">
        <f t="shared" si="34"/>
        <v>Non-Campaign</v>
      </c>
      <c r="H747">
        <v>2</v>
      </c>
      <c r="I747" s="4">
        <v>0.05</v>
      </c>
      <c r="J747">
        <v>384.67</v>
      </c>
      <c r="K747" s="6">
        <v>149.27000000000001</v>
      </c>
      <c r="L747" s="8">
        <f t="shared" si="35"/>
        <v>0.38804689734057762</v>
      </c>
    </row>
    <row r="748" spans="1:12" x14ac:dyDescent="0.2">
      <c r="A748" t="s">
        <v>1063</v>
      </c>
      <c r="B748" s="1" t="d">
        <v>2024-12-26</v>
      </c>
      <c r="C748" s="1" t="str">
        <f t="shared" si="33"/>
        <v>December 2024</v>
      </c>
      <c r="D748" t="s">
        <v>296</v>
      </c>
      <c r="E748" t="s">
        <v>193</v>
      </c>
      <c r="F748" t="s">
        <v>30</v>
      </c>
      <c r="G748" t="str">
        <f t="shared" si="34"/>
        <v>Campaign</v>
      </c>
      <c r="H748">
        <v>3</v>
      </c>
      <c r="I748" s="4">
        <v>0.3</v>
      </c>
      <c r="J748">
        <v>697.07</v>
      </c>
      <c r="K748" s="6">
        <v>81.680000000000007</v>
      </c>
      <c r="L748" s="8">
        <f t="shared" si="35"/>
        <v>0.1171761802975311</v>
      </c>
    </row>
    <row r="749" spans="1:12" x14ac:dyDescent="0.2">
      <c r="A749" t="s">
        <v>1064</v>
      </c>
      <c r="B749" s="1" t="d">
        <v>2024-10-05</v>
      </c>
      <c r="C749" s="1" t="str">
        <f t="shared" si="33"/>
        <v>October 2024</v>
      </c>
      <c r="D749" t="s">
        <v>234</v>
      </c>
      <c r="E749" t="s">
        <v>15</v>
      </c>
      <c r="F749" t="s">
        <v>16</v>
      </c>
      <c r="G749" t="str">
        <f t="shared" si="34"/>
        <v>Campaign</v>
      </c>
      <c r="H749">
        <v>4</v>
      </c>
      <c r="I749" s="4">
        <v>0</v>
      </c>
      <c r="J749">
        <v>1627.16</v>
      </c>
      <c r="K749" s="6">
        <v>521.91999999999996</v>
      </c>
      <c r="L749" s="8">
        <f t="shared" si="35"/>
        <v>0.32075518080582116</v>
      </c>
    </row>
    <row r="750" spans="1:12" x14ac:dyDescent="0.2">
      <c r="A750" t="s">
        <v>1065</v>
      </c>
      <c r="B750" s="1" t="d">
        <v>2025-01-09</v>
      </c>
      <c r="C750" s="1" t="str">
        <f t="shared" si="33"/>
        <v>January 2025</v>
      </c>
      <c r="D750" t="s">
        <v>1066</v>
      </c>
      <c r="E750" t="s">
        <v>26</v>
      </c>
      <c r="F750" t="s">
        <v>1337</v>
      </c>
      <c r="G750" t="str">
        <f t="shared" si="34"/>
        <v>Non-Campaign</v>
      </c>
      <c r="H750">
        <v>5</v>
      </c>
      <c r="I750" s="4">
        <v>0</v>
      </c>
      <c r="J750">
        <v>1112.5999999999999</v>
      </c>
      <c r="K750" s="6">
        <v>654.29999999999995</v>
      </c>
      <c r="L750" s="8">
        <f t="shared" si="35"/>
        <v>0.58808197015998565</v>
      </c>
    </row>
    <row r="751" spans="1:12" x14ac:dyDescent="0.2">
      <c r="A751" t="s">
        <v>1067</v>
      </c>
      <c r="B751" s="1" t="d">
        <v>2025-03-11</v>
      </c>
      <c r="C751" s="1" t="str">
        <f t="shared" si="33"/>
        <v>March 2025</v>
      </c>
      <c r="D751" t="s">
        <v>123</v>
      </c>
      <c r="E751" t="s">
        <v>47</v>
      </c>
      <c r="F751" t="s">
        <v>1337</v>
      </c>
      <c r="G751" t="str">
        <f t="shared" si="34"/>
        <v>Non-Campaign</v>
      </c>
      <c r="H751">
        <v>5</v>
      </c>
      <c r="I751" s="4">
        <v>0</v>
      </c>
      <c r="J751">
        <v>1503</v>
      </c>
      <c r="K751" s="6">
        <v>362.05</v>
      </c>
      <c r="L751" s="8">
        <f t="shared" si="35"/>
        <v>0.24088489687292083</v>
      </c>
    </row>
    <row r="752" spans="1:12" x14ac:dyDescent="0.2">
      <c r="A752" t="s">
        <v>1068</v>
      </c>
      <c r="B752" s="1" t="d">
        <v>2024-10-28</v>
      </c>
      <c r="C752" s="1" t="str">
        <f t="shared" si="33"/>
        <v>October 2024</v>
      </c>
      <c r="D752" t="s">
        <v>46</v>
      </c>
      <c r="E752" t="s">
        <v>72</v>
      </c>
      <c r="F752" t="s">
        <v>16</v>
      </c>
      <c r="G752" t="str">
        <f t="shared" si="34"/>
        <v>Campaign</v>
      </c>
      <c r="H752">
        <v>1</v>
      </c>
      <c r="I752" s="4">
        <v>0.3</v>
      </c>
      <c r="J752">
        <v>45.16</v>
      </c>
      <c r="K752" s="6">
        <v>16.86</v>
      </c>
      <c r="L752" s="8">
        <f t="shared" si="35"/>
        <v>0.37333923826395043</v>
      </c>
    </row>
    <row r="753" spans="1:12" x14ac:dyDescent="0.2">
      <c r="A753" t="s">
        <v>1069</v>
      </c>
      <c r="B753" s="1" t="d">
        <v>2025-05-14</v>
      </c>
      <c r="C753" s="1" t="str">
        <f t="shared" si="33"/>
        <v>May 2025</v>
      </c>
      <c r="D753" t="s">
        <v>406</v>
      </c>
      <c r="E753" t="s">
        <v>80</v>
      </c>
      <c r="F753" t="s">
        <v>30</v>
      </c>
      <c r="G753" t="str">
        <f t="shared" si="34"/>
        <v>Campaign</v>
      </c>
      <c r="H753">
        <v>2</v>
      </c>
      <c r="I753" s="4">
        <v>0.3</v>
      </c>
      <c r="J753">
        <v>205.76</v>
      </c>
      <c r="K753" s="6">
        <v>83.08</v>
      </c>
      <c r="L753" s="8">
        <f t="shared" si="35"/>
        <v>0.40377138413685848</v>
      </c>
    </row>
    <row r="754" spans="1:12" x14ac:dyDescent="0.2">
      <c r="A754" t="s">
        <v>1070</v>
      </c>
      <c r="B754" s="1" t="d">
        <v>2024-10-20</v>
      </c>
      <c r="C754" s="1" t="str">
        <f t="shared" si="33"/>
        <v>October 2024</v>
      </c>
      <c r="D754" t="s">
        <v>553</v>
      </c>
      <c r="E754" t="s">
        <v>11</v>
      </c>
      <c r="F754" t="s">
        <v>16</v>
      </c>
      <c r="G754" t="str">
        <f t="shared" si="34"/>
        <v>Campaign</v>
      </c>
      <c r="H754">
        <v>2</v>
      </c>
      <c r="I754" s="4">
        <v>0.2</v>
      </c>
      <c r="J754">
        <v>323.94</v>
      </c>
      <c r="K754" s="6">
        <v>88.54</v>
      </c>
      <c r="L754" s="8">
        <f t="shared" si="35"/>
        <v>0.27332222016422797</v>
      </c>
    </row>
    <row r="755" spans="1:12" x14ac:dyDescent="0.2">
      <c r="A755" t="s">
        <v>1071</v>
      </c>
      <c r="B755" s="1" t="d">
        <v>2024-11-08</v>
      </c>
      <c r="C755" s="1" t="str">
        <f t="shared" si="33"/>
        <v>November 2024</v>
      </c>
      <c r="D755" t="s">
        <v>687</v>
      </c>
      <c r="E755" t="s">
        <v>29</v>
      </c>
      <c r="F755" t="s">
        <v>12</v>
      </c>
      <c r="G755" t="str">
        <f t="shared" si="34"/>
        <v>Campaign</v>
      </c>
      <c r="H755">
        <v>3</v>
      </c>
      <c r="I755" s="4">
        <v>0.1</v>
      </c>
      <c r="J755">
        <v>1015.04</v>
      </c>
      <c r="K755" s="6">
        <v>453.44</v>
      </c>
      <c r="L755" s="8">
        <f t="shared" si="35"/>
        <v>0.44672131147540983</v>
      </c>
    </row>
    <row r="756" spans="1:12" x14ac:dyDescent="0.2">
      <c r="A756" t="s">
        <v>1072</v>
      </c>
      <c r="B756" s="1" t="d">
        <v>2024-09-12</v>
      </c>
      <c r="C756" s="1" t="str">
        <f t="shared" si="33"/>
        <v>September 2024</v>
      </c>
      <c r="D756" t="s">
        <v>708</v>
      </c>
      <c r="E756" t="s">
        <v>11</v>
      </c>
      <c r="F756" t="s">
        <v>109</v>
      </c>
      <c r="G756" t="str">
        <f t="shared" si="34"/>
        <v>Campaign</v>
      </c>
      <c r="H756">
        <v>5</v>
      </c>
      <c r="I756" s="4">
        <v>0.15</v>
      </c>
      <c r="J756">
        <v>860.46</v>
      </c>
      <c r="K756" s="6">
        <v>271.95999999999998</v>
      </c>
      <c r="L756" s="8">
        <f t="shared" si="35"/>
        <v>0.31606350091811353</v>
      </c>
    </row>
    <row r="757" spans="1:12" x14ac:dyDescent="0.2">
      <c r="A757" t="s">
        <v>1073</v>
      </c>
      <c r="B757" s="1" t="d">
        <v>2025-02-24</v>
      </c>
      <c r="C757" s="1" t="str">
        <f t="shared" si="33"/>
        <v>February 2025</v>
      </c>
      <c r="D757" t="s">
        <v>113</v>
      </c>
      <c r="E757" t="s">
        <v>53</v>
      </c>
      <c r="F757" t="s">
        <v>16</v>
      </c>
      <c r="G757" t="str">
        <f t="shared" si="34"/>
        <v>Campaign</v>
      </c>
      <c r="H757">
        <v>5</v>
      </c>
      <c r="I757" s="4">
        <v>0.2</v>
      </c>
      <c r="J757">
        <v>1338.44</v>
      </c>
      <c r="K757" s="6">
        <v>404.44</v>
      </c>
      <c r="L757" s="8">
        <f t="shared" si="35"/>
        <v>0.30217267864080571</v>
      </c>
    </row>
    <row r="758" spans="1:12" x14ac:dyDescent="0.2">
      <c r="A758" t="s">
        <v>1074</v>
      </c>
      <c r="B758" s="1" t="d">
        <v>2024-09-22</v>
      </c>
      <c r="C758" s="1" t="str">
        <f t="shared" si="33"/>
        <v>September 2024</v>
      </c>
      <c r="D758" t="s">
        <v>200</v>
      </c>
      <c r="E758" t="s">
        <v>41</v>
      </c>
      <c r="F758" t="s">
        <v>1337</v>
      </c>
      <c r="G758" t="str">
        <f t="shared" si="34"/>
        <v>Non-Campaign</v>
      </c>
      <c r="H758">
        <v>5</v>
      </c>
      <c r="I758" s="4">
        <v>0.3</v>
      </c>
      <c r="J758">
        <v>1450.65</v>
      </c>
      <c r="K758" s="6">
        <v>-45.6</v>
      </c>
      <c r="L758" s="8">
        <f t="shared" si="35"/>
        <v>-3.1434184675834968E-2</v>
      </c>
    </row>
    <row r="759" spans="1:12" x14ac:dyDescent="0.2">
      <c r="A759" t="s">
        <v>1075</v>
      </c>
      <c r="B759" s="1" t="d">
        <v>2025-05-16</v>
      </c>
      <c r="C759" s="1" t="str">
        <f t="shared" si="33"/>
        <v>May 2025</v>
      </c>
      <c r="D759" t="s">
        <v>250</v>
      </c>
      <c r="E759" t="s">
        <v>80</v>
      </c>
      <c r="F759" t="s">
        <v>1337</v>
      </c>
      <c r="G759" t="str">
        <f t="shared" si="34"/>
        <v>Non-Campaign</v>
      </c>
      <c r="H759">
        <v>4</v>
      </c>
      <c r="I759" s="4">
        <v>0.2</v>
      </c>
      <c r="J759">
        <v>470.3</v>
      </c>
      <c r="K759" s="6">
        <v>224.94</v>
      </c>
      <c r="L759" s="8">
        <f t="shared" si="35"/>
        <v>0.47829045290240269</v>
      </c>
    </row>
    <row r="760" spans="1:12" x14ac:dyDescent="0.2">
      <c r="A760" t="s">
        <v>1076</v>
      </c>
      <c r="B760" s="1" t="d">
        <v>2025-03-28</v>
      </c>
      <c r="C760" s="1" t="str">
        <f t="shared" si="33"/>
        <v>March 2025</v>
      </c>
      <c r="D760" t="s">
        <v>705</v>
      </c>
      <c r="E760" t="s">
        <v>119</v>
      </c>
      <c r="F760" t="s">
        <v>20</v>
      </c>
      <c r="G760" t="str">
        <f t="shared" si="34"/>
        <v>Campaign</v>
      </c>
      <c r="H760">
        <v>4</v>
      </c>
      <c r="I760" s="4">
        <v>0.1</v>
      </c>
      <c r="J760">
        <v>450.97</v>
      </c>
      <c r="K760" s="6">
        <v>50.61</v>
      </c>
      <c r="L760" s="8">
        <f t="shared" si="35"/>
        <v>0.11222475996185999</v>
      </c>
    </row>
    <row r="761" spans="1:12" x14ac:dyDescent="0.2">
      <c r="A761" t="s">
        <v>1077</v>
      </c>
      <c r="B761" s="1" t="d">
        <v>2025-03-11</v>
      </c>
      <c r="C761" s="1" t="str">
        <f t="shared" si="33"/>
        <v>March 2025</v>
      </c>
      <c r="D761" t="s">
        <v>93</v>
      </c>
      <c r="E761" t="s">
        <v>19</v>
      </c>
      <c r="F761" t="s">
        <v>109</v>
      </c>
      <c r="G761" t="str">
        <f t="shared" si="34"/>
        <v>Campaign</v>
      </c>
      <c r="H761">
        <v>2</v>
      </c>
      <c r="I761" s="4">
        <v>0.1</v>
      </c>
      <c r="J761">
        <v>286.04000000000002</v>
      </c>
      <c r="K761" s="6">
        <v>148.76</v>
      </c>
      <c r="L761" s="8">
        <f t="shared" si="35"/>
        <v>0.52006712347923356</v>
      </c>
    </row>
    <row r="762" spans="1:12" x14ac:dyDescent="0.2">
      <c r="A762" t="s">
        <v>1078</v>
      </c>
      <c r="B762" s="1" t="d">
        <v>2025-02-06</v>
      </c>
      <c r="C762" s="1" t="str">
        <f t="shared" si="33"/>
        <v>February 2025</v>
      </c>
      <c r="D762" t="s">
        <v>451</v>
      </c>
      <c r="E762" t="s">
        <v>29</v>
      </c>
      <c r="F762" t="s">
        <v>16</v>
      </c>
      <c r="G762" t="str">
        <f t="shared" si="34"/>
        <v>Campaign</v>
      </c>
      <c r="H762">
        <v>3</v>
      </c>
      <c r="I762" s="4">
        <v>0.1</v>
      </c>
      <c r="J762">
        <v>1015.04</v>
      </c>
      <c r="K762" s="6">
        <v>453.44</v>
      </c>
      <c r="L762" s="8">
        <f t="shared" si="35"/>
        <v>0.44672131147540983</v>
      </c>
    </row>
    <row r="763" spans="1:12" x14ac:dyDescent="0.2">
      <c r="A763" t="s">
        <v>1079</v>
      </c>
      <c r="B763" s="1" t="d">
        <v>2025-04-11</v>
      </c>
      <c r="C763" s="1" t="str">
        <f t="shared" si="33"/>
        <v>April 2025</v>
      </c>
      <c r="D763" t="s">
        <v>10</v>
      </c>
      <c r="E763" t="s">
        <v>50</v>
      </c>
      <c r="F763" t="s">
        <v>12</v>
      </c>
      <c r="G763" t="str">
        <f t="shared" si="34"/>
        <v>Campaign</v>
      </c>
      <c r="H763">
        <v>4</v>
      </c>
      <c r="I763" s="4">
        <v>0.15</v>
      </c>
      <c r="J763">
        <v>1257.93</v>
      </c>
      <c r="K763" s="6">
        <v>569.25</v>
      </c>
      <c r="L763" s="8">
        <f t="shared" si="35"/>
        <v>0.45252915504042351</v>
      </c>
    </row>
    <row r="764" spans="1:12" x14ac:dyDescent="0.2">
      <c r="A764" t="s">
        <v>1080</v>
      </c>
      <c r="B764" s="1" t="d">
        <v>2025-04-20</v>
      </c>
      <c r="C764" s="1" t="str">
        <f t="shared" si="33"/>
        <v>April 2025</v>
      </c>
      <c r="D764" t="s">
        <v>204</v>
      </c>
      <c r="E764" t="s">
        <v>29</v>
      </c>
      <c r="F764" t="s">
        <v>1337</v>
      </c>
      <c r="G764" t="str">
        <f t="shared" si="34"/>
        <v>Non-Campaign</v>
      </c>
      <c r="H764">
        <v>3</v>
      </c>
      <c r="I764" s="4">
        <v>0.2</v>
      </c>
      <c r="J764">
        <v>902.26</v>
      </c>
      <c r="K764" s="6">
        <v>340.66</v>
      </c>
      <c r="L764" s="8">
        <f t="shared" si="35"/>
        <v>0.3775630084454592</v>
      </c>
    </row>
    <row r="765" spans="1:12" x14ac:dyDescent="0.2">
      <c r="A765" t="s">
        <v>1081</v>
      </c>
      <c r="B765" s="1" t="d">
        <v>2024-07-06</v>
      </c>
      <c r="C765" s="1" t="str">
        <f t="shared" si="33"/>
        <v>July 2024</v>
      </c>
      <c r="D765" t="s">
        <v>365</v>
      </c>
      <c r="E765" t="s">
        <v>119</v>
      </c>
      <c r="F765" t="s">
        <v>12</v>
      </c>
      <c r="G765" t="str">
        <f t="shared" si="34"/>
        <v>Campaign</v>
      </c>
      <c r="H765">
        <v>5</v>
      </c>
      <c r="I765" s="4">
        <v>0.1</v>
      </c>
      <c r="J765">
        <v>563.72</v>
      </c>
      <c r="K765" s="6">
        <v>63.27</v>
      </c>
      <c r="L765" s="8">
        <f t="shared" si="35"/>
        <v>0.11223657134747747</v>
      </c>
    </row>
    <row r="766" spans="1:12" x14ac:dyDescent="0.2">
      <c r="A766" t="s">
        <v>1082</v>
      </c>
      <c r="B766" s="1" t="d">
        <v>2025-02-06</v>
      </c>
      <c r="C766" s="1" t="str">
        <f t="shared" si="33"/>
        <v>February 2025</v>
      </c>
      <c r="D766" t="s">
        <v>1083</v>
      </c>
      <c r="E766" t="s">
        <v>19</v>
      </c>
      <c r="F766" t="s">
        <v>1337</v>
      </c>
      <c r="G766" t="str">
        <f t="shared" si="34"/>
        <v>Non-Campaign</v>
      </c>
      <c r="H766">
        <v>4</v>
      </c>
      <c r="I766" s="4">
        <v>0.05</v>
      </c>
      <c r="J766">
        <v>603.86</v>
      </c>
      <c r="K766" s="6">
        <v>329.3</v>
      </c>
      <c r="L766" s="8">
        <f t="shared" si="35"/>
        <v>0.54532507534859076</v>
      </c>
    </row>
    <row r="767" spans="1:12" x14ac:dyDescent="0.2">
      <c r="A767" t="s">
        <v>1084</v>
      </c>
      <c r="B767" s="1" t="d">
        <v>2025-01-11</v>
      </c>
      <c r="C767" s="1" t="str">
        <f t="shared" si="33"/>
        <v>January 2025</v>
      </c>
      <c r="D767" t="s">
        <v>260</v>
      </c>
      <c r="E767" t="s">
        <v>53</v>
      </c>
      <c r="F767" t="s">
        <v>1337</v>
      </c>
      <c r="G767" t="str">
        <f t="shared" si="34"/>
        <v>Non-Campaign</v>
      </c>
      <c r="H767">
        <v>4</v>
      </c>
      <c r="I767" s="4">
        <v>0.05</v>
      </c>
      <c r="J767">
        <v>1271.52</v>
      </c>
      <c r="K767" s="6">
        <v>524.32000000000005</v>
      </c>
      <c r="L767" s="8">
        <f t="shared" si="35"/>
        <v>0.41235686422549395</v>
      </c>
    </row>
    <row r="768" spans="1:12" x14ac:dyDescent="0.2">
      <c r="A768" t="s">
        <v>1085</v>
      </c>
      <c r="B768" s="1" t="d">
        <v>2024-08-02</v>
      </c>
      <c r="C768" s="1" t="str">
        <f t="shared" si="33"/>
        <v>August 2024</v>
      </c>
      <c r="D768" t="s">
        <v>108</v>
      </c>
      <c r="E768" t="s">
        <v>26</v>
      </c>
      <c r="F768" t="s">
        <v>1337</v>
      </c>
      <c r="G768" t="str">
        <f t="shared" si="34"/>
        <v>Non-Campaign</v>
      </c>
      <c r="H768">
        <v>2</v>
      </c>
      <c r="I768" s="4">
        <v>0.2</v>
      </c>
      <c r="J768">
        <v>356.03</v>
      </c>
      <c r="K768" s="6">
        <v>172.71</v>
      </c>
      <c r="L768" s="8">
        <f t="shared" si="35"/>
        <v>0.48509957026093314</v>
      </c>
    </row>
    <row r="769" spans="1:12" x14ac:dyDescent="0.2">
      <c r="A769" t="s">
        <v>1086</v>
      </c>
      <c r="B769" s="1" t="d">
        <v>2024-10-05</v>
      </c>
      <c r="C769" s="1" t="str">
        <f t="shared" si="33"/>
        <v>October 2024</v>
      </c>
      <c r="D769" t="s">
        <v>397</v>
      </c>
      <c r="E769" t="s">
        <v>80</v>
      </c>
      <c r="F769" t="s">
        <v>109</v>
      </c>
      <c r="G769" t="str">
        <f t="shared" si="34"/>
        <v>Campaign</v>
      </c>
      <c r="H769">
        <v>4</v>
      </c>
      <c r="I769" s="4">
        <v>0.05</v>
      </c>
      <c r="J769">
        <v>558.49</v>
      </c>
      <c r="K769" s="6">
        <v>313.13</v>
      </c>
      <c r="L769" s="8">
        <f t="shared" si="35"/>
        <v>0.56067252770864295</v>
      </c>
    </row>
    <row r="770" spans="1:12" x14ac:dyDescent="0.2">
      <c r="A770" t="s">
        <v>1087</v>
      </c>
      <c r="B770" s="1" t="d">
        <v>2024-10-29</v>
      </c>
      <c r="C770" s="1" t="str">
        <f t="shared" ref="C770:C833" si="36">TEXT(B770, "mmmm yyyy")</f>
        <v>October 2024</v>
      </c>
      <c r="D770" t="s">
        <v>301</v>
      </c>
      <c r="E770" t="s">
        <v>35</v>
      </c>
      <c r="F770" t="s">
        <v>16</v>
      </c>
      <c r="G770" t="str">
        <f t="shared" ref="G770:G833" si="37">IF(F770="No Campaign", "Non-Campaign", "Campaign")</f>
        <v>Campaign</v>
      </c>
      <c r="H770">
        <v>3</v>
      </c>
      <c r="I770" s="4">
        <v>0</v>
      </c>
      <c r="J770">
        <v>908.55</v>
      </c>
      <c r="K770" s="6">
        <v>250.98</v>
      </c>
      <c r="L770" s="8">
        <f t="shared" ref="L770:L833" si="38">IF(J770=0, 0,K770/J770)</f>
        <v>0.27624236420670301</v>
      </c>
    </row>
    <row r="771" spans="1:12" x14ac:dyDescent="0.2">
      <c r="A771" t="s">
        <v>1088</v>
      </c>
      <c r="B771" s="1" t="d">
        <v>2024-09-09</v>
      </c>
      <c r="C771" s="1" t="str">
        <f t="shared" si="36"/>
        <v>September 2024</v>
      </c>
      <c r="D771" t="s">
        <v>200</v>
      </c>
      <c r="E771" t="s">
        <v>75</v>
      </c>
      <c r="F771" t="s">
        <v>1337</v>
      </c>
      <c r="G771" t="str">
        <f t="shared" si="37"/>
        <v>Non-Campaign</v>
      </c>
      <c r="H771">
        <v>3</v>
      </c>
      <c r="I771" s="4">
        <v>0.3</v>
      </c>
      <c r="J771">
        <v>368.89</v>
      </c>
      <c r="K771" s="6">
        <v>-3.86</v>
      </c>
      <c r="L771" s="8">
        <f t="shared" si="38"/>
        <v>-1.0463823904144867E-2</v>
      </c>
    </row>
    <row r="772" spans="1:12" x14ac:dyDescent="0.2">
      <c r="A772" t="s">
        <v>1089</v>
      </c>
      <c r="B772" s="1" t="d">
        <v>2024-11-15</v>
      </c>
      <c r="C772" s="1" t="str">
        <f t="shared" si="36"/>
        <v>November 2024</v>
      </c>
      <c r="D772" t="s">
        <v>360</v>
      </c>
      <c r="E772" t="s">
        <v>15</v>
      </c>
      <c r="F772" t="s">
        <v>1337</v>
      </c>
      <c r="G772" t="str">
        <f t="shared" si="37"/>
        <v>Non-Campaign</v>
      </c>
      <c r="H772">
        <v>1</v>
      </c>
      <c r="I772" s="4">
        <v>0.05</v>
      </c>
      <c r="J772">
        <v>386.45</v>
      </c>
      <c r="K772" s="6">
        <v>110.14</v>
      </c>
      <c r="L772" s="8">
        <f t="shared" si="38"/>
        <v>0.28500452839953422</v>
      </c>
    </row>
    <row r="773" spans="1:12" x14ac:dyDescent="0.2">
      <c r="A773" t="s">
        <v>1090</v>
      </c>
      <c r="B773" s="1" t="d">
        <v>2024-12-20</v>
      </c>
      <c r="C773" s="1" t="str">
        <f t="shared" si="36"/>
        <v>December 2024</v>
      </c>
      <c r="D773" t="s">
        <v>169</v>
      </c>
      <c r="E773" t="s">
        <v>50</v>
      </c>
      <c r="F773" t="s">
        <v>12</v>
      </c>
      <c r="G773" t="str">
        <f t="shared" si="37"/>
        <v>Campaign</v>
      </c>
      <c r="H773">
        <v>2</v>
      </c>
      <c r="I773" s="4">
        <v>0</v>
      </c>
      <c r="J773">
        <v>739.96</v>
      </c>
      <c r="K773" s="6">
        <v>395.62</v>
      </c>
      <c r="L773" s="8">
        <f t="shared" si="38"/>
        <v>0.53465052164981886</v>
      </c>
    </row>
    <row r="774" spans="1:12" x14ac:dyDescent="0.2">
      <c r="A774" t="s">
        <v>1091</v>
      </c>
      <c r="B774" s="1" t="d">
        <v>2025-01-31</v>
      </c>
      <c r="C774" s="1" t="str">
        <f t="shared" si="36"/>
        <v>January 2025</v>
      </c>
      <c r="D774" t="s">
        <v>347</v>
      </c>
      <c r="E774" t="s">
        <v>72</v>
      </c>
      <c r="F774" t="s">
        <v>16</v>
      </c>
      <c r="G774" t="str">
        <f t="shared" si="37"/>
        <v>Campaign</v>
      </c>
      <c r="H774">
        <v>4</v>
      </c>
      <c r="I774" s="4">
        <v>0.3</v>
      </c>
      <c r="J774">
        <v>180.66</v>
      </c>
      <c r="K774" s="6">
        <v>67.459999999999994</v>
      </c>
      <c r="L774" s="8">
        <f t="shared" si="38"/>
        <v>0.37340861286394328</v>
      </c>
    </row>
    <row r="775" spans="1:12" x14ac:dyDescent="0.2">
      <c r="A775" t="s">
        <v>1092</v>
      </c>
      <c r="B775" s="1" t="d">
        <v>2024-12-30</v>
      </c>
      <c r="C775" s="1" t="str">
        <f t="shared" si="36"/>
        <v>December 2024</v>
      </c>
      <c r="D775" t="s">
        <v>183</v>
      </c>
      <c r="E775" t="s">
        <v>103</v>
      </c>
      <c r="F775" t="s">
        <v>20</v>
      </c>
      <c r="G775" t="str">
        <f t="shared" si="37"/>
        <v>Campaign</v>
      </c>
      <c r="H775">
        <v>2</v>
      </c>
      <c r="I775" s="4">
        <v>0</v>
      </c>
      <c r="J775">
        <v>189.26</v>
      </c>
      <c r="K775" s="6">
        <v>41.1</v>
      </c>
      <c r="L775" s="8">
        <f t="shared" si="38"/>
        <v>0.21716157666701894</v>
      </c>
    </row>
    <row r="776" spans="1:12" x14ac:dyDescent="0.2">
      <c r="A776" t="s">
        <v>1093</v>
      </c>
      <c r="B776" s="1" t="d">
        <v>2025-05-15</v>
      </c>
      <c r="C776" s="1" t="str">
        <f t="shared" si="36"/>
        <v>May 2025</v>
      </c>
      <c r="D776" t="s">
        <v>656</v>
      </c>
      <c r="E776" t="s">
        <v>15</v>
      </c>
      <c r="F776" t="s">
        <v>1337</v>
      </c>
      <c r="G776" t="str">
        <f t="shared" si="37"/>
        <v>Non-Campaign</v>
      </c>
      <c r="H776">
        <v>4</v>
      </c>
      <c r="I776" s="4">
        <v>0.1</v>
      </c>
      <c r="J776">
        <v>1464.44</v>
      </c>
      <c r="K776" s="6">
        <v>359.2</v>
      </c>
      <c r="L776" s="8">
        <f t="shared" si="38"/>
        <v>0.24528147278140447</v>
      </c>
    </row>
    <row r="777" spans="1:12" x14ac:dyDescent="0.2">
      <c r="A777" t="s">
        <v>1094</v>
      </c>
      <c r="B777" s="1" t="d">
        <v>2025-06-20</v>
      </c>
      <c r="C777" s="1" t="str">
        <f t="shared" si="36"/>
        <v>June 2025</v>
      </c>
      <c r="D777" t="s">
        <v>441</v>
      </c>
      <c r="E777" t="s">
        <v>44</v>
      </c>
      <c r="F777" t="s">
        <v>1337</v>
      </c>
      <c r="G777" t="str">
        <f t="shared" si="37"/>
        <v>Non-Campaign</v>
      </c>
      <c r="H777">
        <v>1</v>
      </c>
      <c r="I777" s="4">
        <v>0.1</v>
      </c>
      <c r="J777">
        <v>144.66</v>
      </c>
      <c r="K777" s="6">
        <v>39.950000000000003</v>
      </c>
      <c r="L777" s="8">
        <f t="shared" si="38"/>
        <v>0.27616480022120837</v>
      </c>
    </row>
    <row r="778" spans="1:12" x14ac:dyDescent="0.2">
      <c r="A778" t="s">
        <v>1095</v>
      </c>
      <c r="B778" s="1" t="d">
        <v>2025-02-20</v>
      </c>
      <c r="C778" s="1" t="str">
        <f t="shared" si="36"/>
        <v>February 2025</v>
      </c>
      <c r="D778" t="s">
        <v>378</v>
      </c>
      <c r="E778" t="s">
        <v>130</v>
      </c>
      <c r="F778" t="s">
        <v>16</v>
      </c>
      <c r="G778" t="str">
        <f t="shared" si="37"/>
        <v>Campaign</v>
      </c>
      <c r="H778">
        <v>1</v>
      </c>
      <c r="I778" s="4">
        <v>0.1</v>
      </c>
      <c r="J778">
        <v>344.5</v>
      </c>
      <c r="K778" s="6">
        <v>59.54</v>
      </c>
      <c r="L778" s="8">
        <f t="shared" si="38"/>
        <v>0.17283018867924527</v>
      </c>
    </row>
    <row r="779" spans="1:12" x14ac:dyDescent="0.2">
      <c r="A779" t="s">
        <v>1096</v>
      </c>
      <c r="B779" s="1" t="d">
        <v>2024-11-10</v>
      </c>
      <c r="C779" s="1" t="str">
        <f t="shared" si="36"/>
        <v>November 2024</v>
      </c>
      <c r="D779" t="s">
        <v>454</v>
      </c>
      <c r="E779" t="s">
        <v>26</v>
      </c>
      <c r="F779" t="s">
        <v>1337</v>
      </c>
      <c r="G779" t="str">
        <f t="shared" si="37"/>
        <v>Non-Campaign</v>
      </c>
      <c r="H779">
        <v>2</v>
      </c>
      <c r="I779" s="4">
        <v>0.05</v>
      </c>
      <c r="J779">
        <v>422.79</v>
      </c>
      <c r="K779" s="6">
        <v>239.47</v>
      </c>
      <c r="L779" s="8">
        <f t="shared" si="38"/>
        <v>0.56640412497930415</v>
      </c>
    </row>
    <row r="780" spans="1:12" x14ac:dyDescent="0.2">
      <c r="A780" t="s">
        <v>1097</v>
      </c>
      <c r="B780" s="1" t="d">
        <v>2024-12-11</v>
      </c>
      <c r="C780" s="1" t="str">
        <f t="shared" si="36"/>
        <v>December 2024</v>
      </c>
      <c r="D780" t="s">
        <v>425</v>
      </c>
      <c r="E780" t="s">
        <v>130</v>
      </c>
      <c r="F780" t="s">
        <v>1337</v>
      </c>
      <c r="G780" t="str">
        <f t="shared" si="37"/>
        <v>Non-Campaign</v>
      </c>
      <c r="H780">
        <v>1</v>
      </c>
      <c r="I780" s="4">
        <v>0</v>
      </c>
      <c r="J780">
        <v>382.78</v>
      </c>
      <c r="K780" s="6">
        <v>97.82</v>
      </c>
      <c r="L780" s="8">
        <f t="shared" si="38"/>
        <v>0.25555149171848057</v>
      </c>
    </row>
    <row r="781" spans="1:12" x14ac:dyDescent="0.2">
      <c r="A781" t="s">
        <v>1098</v>
      </c>
      <c r="B781" s="1" t="d">
        <v>2024-07-14</v>
      </c>
      <c r="C781" s="1" t="str">
        <f t="shared" si="36"/>
        <v>July 2024</v>
      </c>
      <c r="D781" t="s">
        <v>171</v>
      </c>
      <c r="E781" t="s">
        <v>177</v>
      </c>
      <c r="F781" t="s">
        <v>1337</v>
      </c>
      <c r="G781" t="str">
        <f t="shared" si="37"/>
        <v>Non-Campaign</v>
      </c>
      <c r="H781">
        <v>2</v>
      </c>
      <c r="I781" s="4">
        <v>0.3</v>
      </c>
      <c r="J781">
        <v>157.22</v>
      </c>
      <c r="K781" s="6">
        <v>61.14</v>
      </c>
      <c r="L781" s="8">
        <f t="shared" si="38"/>
        <v>0.3888818216511894</v>
      </c>
    </row>
    <row r="782" spans="1:12" x14ac:dyDescent="0.2">
      <c r="A782" t="s">
        <v>1099</v>
      </c>
      <c r="B782" s="1" t="d">
        <v>2024-09-10</v>
      </c>
      <c r="C782" s="1" t="str">
        <f t="shared" si="36"/>
        <v>September 2024</v>
      </c>
      <c r="D782" t="s">
        <v>317</v>
      </c>
      <c r="E782" t="s">
        <v>15</v>
      </c>
      <c r="F782" t="s">
        <v>1337</v>
      </c>
      <c r="G782" t="str">
        <f t="shared" si="37"/>
        <v>Non-Campaign</v>
      </c>
      <c r="H782">
        <v>1</v>
      </c>
      <c r="I782" s="4">
        <v>0.2</v>
      </c>
      <c r="J782">
        <v>325.43</v>
      </c>
      <c r="K782" s="6">
        <v>49.12</v>
      </c>
      <c r="L782" s="8">
        <f t="shared" si="38"/>
        <v>0.15093875795101863</v>
      </c>
    </row>
    <row r="783" spans="1:12" x14ac:dyDescent="0.2">
      <c r="A783" t="s">
        <v>1100</v>
      </c>
      <c r="B783" s="1" t="d">
        <v>2024-12-13</v>
      </c>
      <c r="C783" s="1" t="str">
        <f t="shared" si="36"/>
        <v>December 2024</v>
      </c>
      <c r="D783" t="s">
        <v>1101</v>
      </c>
      <c r="E783" t="s">
        <v>106</v>
      </c>
      <c r="F783" t="s">
        <v>1337</v>
      </c>
      <c r="G783" t="str">
        <f t="shared" si="37"/>
        <v>Non-Campaign</v>
      </c>
      <c r="H783">
        <v>3</v>
      </c>
      <c r="I783" s="4">
        <v>0.1</v>
      </c>
      <c r="J783">
        <v>533.76</v>
      </c>
      <c r="K783" s="6">
        <v>246.84</v>
      </c>
      <c r="L783" s="8">
        <f t="shared" si="38"/>
        <v>0.46245503597122306</v>
      </c>
    </row>
    <row r="784" spans="1:12" x14ac:dyDescent="0.2">
      <c r="A784" t="s">
        <v>1102</v>
      </c>
      <c r="B784" s="1" t="d">
        <v>2024-07-24</v>
      </c>
      <c r="C784" s="1" t="str">
        <f t="shared" si="36"/>
        <v>July 2024</v>
      </c>
      <c r="D784" t="s">
        <v>1103</v>
      </c>
      <c r="E784" t="s">
        <v>41</v>
      </c>
      <c r="F784" t="s">
        <v>12</v>
      </c>
      <c r="G784" t="str">
        <f t="shared" si="37"/>
        <v>Campaign</v>
      </c>
      <c r="H784">
        <v>5</v>
      </c>
      <c r="I784" s="4">
        <v>0.2</v>
      </c>
      <c r="J784">
        <v>1657.88</v>
      </c>
      <c r="K784" s="6">
        <v>161.63</v>
      </c>
      <c r="L784" s="8">
        <f t="shared" si="38"/>
        <v>9.7491977706468488E-2</v>
      </c>
    </row>
    <row r="785" spans="1:12" x14ac:dyDescent="0.2">
      <c r="A785" t="s">
        <v>1104</v>
      </c>
      <c r="B785" s="1" t="d">
        <v>2025-01-17</v>
      </c>
      <c r="C785" s="1" t="str">
        <f t="shared" si="36"/>
        <v>January 2025</v>
      </c>
      <c r="D785" t="s">
        <v>121</v>
      </c>
      <c r="E785" t="s">
        <v>72</v>
      </c>
      <c r="F785" t="s">
        <v>1337</v>
      </c>
      <c r="G785" t="str">
        <f t="shared" si="37"/>
        <v>Non-Campaign</v>
      </c>
      <c r="H785">
        <v>3</v>
      </c>
      <c r="I785" s="4">
        <v>0.05</v>
      </c>
      <c r="J785">
        <v>183.88</v>
      </c>
      <c r="K785" s="6">
        <v>98.98</v>
      </c>
      <c r="L785" s="8">
        <f t="shared" si="38"/>
        <v>0.53828583859038504</v>
      </c>
    </row>
    <row r="786" spans="1:12" x14ac:dyDescent="0.2">
      <c r="A786" t="s">
        <v>1105</v>
      </c>
      <c r="B786" s="1" t="d">
        <v>2025-01-05</v>
      </c>
      <c r="C786" s="1" t="str">
        <f t="shared" si="36"/>
        <v>January 2025</v>
      </c>
      <c r="D786" t="s">
        <v>273</v>
      </c>
      <c r="E786" t="s">
        <v>135</v>
      </c>
      <c r="F786" t="s">
        <v>12</v>
      </c>
      <c r="G786" t="str">
        <f t="shared" si="37"/>
        <v>Campaign</v>
      </c>
      <c r="H786">
        <v>2</v>
      </c>
      <c r="I786" s="4">
        <v>0</v>
      </c>
      <c r="J786">
        <v>406.36</v>
      </c>
      <c r="K786" s="6">
        <v>81.900000000000006</v>
      </c>
      <c r="L786" s="8">
        <f t="shared" si="38"/>
        <v>0.20154542769957673</v>
      </c>
    </row>
    <row r="787" spans="1:12" x14ac:dyDescent="0.2">
      <c r="A787" t="s">
        <v>1106</v>
      </c>
      <c r="B787" s="1" t="d">
        <v>2025-02-02</v>
      </c>
      <c r="C787" s="1" t="str">
        <f t="shared" si="36"/>
        <v>February 2025</v>
      </c>
      <c r="D787" t="s">
        <v>1107</v>
      </c>
      <c r="E787" t="s">
        <v>41</v>
      </c>
      <c r="F787" t="s">
        <v>1337</v>
      </c>
      <c r="G787" t="str">
        <f t="shared" si="37"/>
        <v>Non-Campaign</v>
      </c>
      <c r="H787">
        <v>3</v>
      </c>
      <c r="I787" s="4">
        <v>0</v>
      </c>
      <c r="J787">
        <v>1243.4100000000001</v>
      </c>
      <c r="K787" s="6">
        <v>345.66</v>
      </c>
      <c r="L787" s="8">
        <f t="shared" si="38"/>
        <v>0.27799358216517478</v>
      </c>
    </row>
    <row r="788" spans="1:12" x14ac:dyDescent="0.2">
      <c r="A788" t="s">
        <v>1108</v>
      </c>
      <c r="B788" s="1" t="d">
        <v>2024-10-26</v>
      </c>
      <c r="C788" s="1" t="str">
        <f t="shared" si="36"/>
        <v>October 2024</v>
      </c>
      <c r="D788" t="s">
        <v>585</v>
      </c>
      <c r="E788" t="s">
        <v>119</v>
      </c>
      <c r="F788" t="s">
        <v>109</v>
      </c>
      <c r="G788" t="str">
        <f t="shared" si="37"/>
        <v>Campaign</v>
      </c>
      <c r="H788">
        <v>5</v>
      </c>
      <c r="I788" s="4">
        <v>0</v>
      </c>
      <c r="J788">
        <v>626.35</v>
      </c>
      <c r="K788" s="6">
        <v>125.9</v>
      </c>
      <c r="L788" s="8">
        <f t="shared" si="38"/>
        <v>0.20100582741278838</v>
      </c>
    </row>
    <row r="789" spans="1:12" x14ac:dyDescent="0.2">
      <c r="A789" t="s">
        <v>1109</v>
      </c>
      <c r="B789" s="1" t="d">
        <v>2025-04-19</v>
      </c>
      <c r="C789" s="1" t="str">
        <f t="shared" si="36"/>
        <v>April 2025</v>
      </c>
      <c r="D789" t="s">
        <v>1008</v>
      </c>
      <c r="E789" t="s">
        <v>119</v>
      </c>
      <c r="F789" t="s">
        <v>30</v>
      </c>
      <c r="G789" t="str">
        <f t="shared" si="37"/>
        <v>Campaign</v>
      </c>
      <c r="H789">
        <v>1</v>
      </c>
      <c r="I789" s="4">
        <v>0</v>
      </c>
      <c r="J789">
        <v>125.27</v>
      </c>
      <c r="K789" s="6">
        <v>25.18</v>
      </c>
      <c r="L789" s="8">
        <f t="shared" si="38"/>
        <v>0.20100582741278838</v>
      </c>
    </row>
    <row r="790" spans="1:12" x14ac:dyDescent="0.2">
      <c r="A790" t="s">
        <v>1110</v>
      </c>
      <c r="B790" s="1" t="d">
        <v>2025-05-04</v>
      </c>
      <c r="C790" s="1" t="str">
        <f t="shared" si="36"/>
        <v>May 2025</v>
      </c>
      <c r="D790" t="s">
        <v>1111</v>
      </c>
      <c r="E790" t="s">
        <v>119</v>
      </c>
      <c r="F790" t="s">
        <v>1337</v>
      </c>
      <c r="G790" t="str">
        <f t="shared" si="37"/>
        <v>Non-Campaign</v>
      </c>
      <c r="H790">
        <v>5</v>
      </c>
      <c r="I790" s="4">
        <v>0.05</v>
      </c>
      <c r="J790">
        <v>595.03</v>
      </c>
      <c r="K790" s="6">
        <v>94.58</v>
      </c>
      <c r="L790" s="8">
        <f t="shared" si="38"/>
        <v>0.15894996890913063</v>
      </c>
    </row>
    <row r="791" spans="1:12" x14ac:dyDescent="0.2">
      <c r="A791" t="s">
        <v>1112</v>
      </c>
      <c r="B791" s="1" t="d">
        <v>2024-12-08</v>
      </c>
      <c r="C791" s="1" t="str">
        <f t="shared" si="36"/>
        <v>December 2024</v>
      </c>
      <c r="D791" t="s">
        <v>1043</v>
      </c>
      <c r="E791" t="s">
        <v>47</v>
      </c>
      <c r="F791" t="s">
        <v>20</v>
      </c>
      <c r="G791" t="str">
        <f t="shared" si="37"/>
        <v>Campaign</v>
      </c>
      <c r="H791">
        <v>2</v>
      </c>
      <c r="I791" s="4">
        <v>0.05</v>
      </c>
      <c r="J791">
        <v>571.14</v>
      </c>
      <c r="K791" s="6">
        <v>114.76</v>
      </c>
      <c r="L791" s="8">
        <f t="shared" si="38"/>
        <v>0.20093147039254824</v>
      </c>
    </row>
    <row r="792" spans="1:12" x14ac:dyDescent="0.2">
      <c r="A792" t="s">
        <v>1113</v>
      </c>
      <c r="B792" s="1" t="d">
        <v>2024-11-12</v>
      </c>
      <c r="C792" s="1" t="str">
        <f t="shared" si="36"/>
        <v>November 2024</v>
      </c>
      <c r="D792" t="s">
        <v>441</v>
      </c>
      <c r="E792" t="s">
        <v>26</v>
      </c>
      <c r="F792" t="s">
        <v>1337</v>
      </c>
      <c r="G792" t="str">
        <f t="shared" si="37"/>
        <v>Non-Campaign</v>
      </c>
      <c r="H792">
        <v>1</v>
      </c>
      <c r="I792" s="4">
        <v>0</v>
      </c>
      <c r="J792">
        <v>222.52</v>
      </c>
      <c r="K792" s="6">
        <v>130.86000000000001</v>
      </c>
      <c r="L792" s="8">
        <f t="shared" si="38"/>
        <v>0.58808197015998565</v>
      </c>
    </row>
    <row r="793" spans="1:12" x14ac:dyDescent="0.2">
      <c r="A793" t="s">
        <v>1114</v>
      </c>
      <c r="B793" s="1" t="d">
        <v>2024-09-15</v>
      </c>
      <c r="C793" s="1" t="str">
        <f t="shared" si="36"/>
        <v>September 2024</v>
      </c>
      <c r="D793" t="s">
        <v>399</v>
      </c>
      <c r="E793" t="s">
        <v>41</v>
      </c>
      <c r="F793" t="s">
        <v>16</v>
      </c>
      <c r="G793" t="str">
        <f t="shared" si="37"/>
        <v>Campaign</v>
      </c>
      <c r="H793">
        <v>5</v>
      </c>
      <c r="I793" s="4">
        <v>0</v>
      </c>
      <c r="J793">
        <v>2072.35</v>
      </c>
      <c r="K793" s="6">
        <v>576.1</v>
      </c>
      <c r="L793" s="8">
        <f t="shared" si="38"/>
        <v>0.27799358216517484</v>
      </c>
    </row>
    <row r="794" spans="1:12" x14ac:dyDescent="0.2">
      <c r="A794" t="s">
        <v>1115</v>
      </c>
      <c r="B794" s="1" t="d">
        <v>2025-04-25</v>
      </c>
      <c r="C794" s="1" t="str">
        <f t="shared" si="36"/>
        <v>April 2025</v>
      </c>
      <c r="D794" t="s">
        <v>578</v>
      </c>
      <c r="E794" t="s">
        <v>106</v>
      </c>
      <c r="F794" t="s">
        <v>30</v>
      </c>
      <c r="G794" t="str">
        <f t="shared" si="37"/>
        <v>Campaign</v>
      </c>
      <c r="H794">
        <v>3</v>
      </c>
      <c r="I794" s="4">
        <v>0.2</v>
      </c>
      <c r="J794">
        <v>474.46</v>
      </c>
      <c r="K794" s="6">
        <v>187.54</v>
      </c>
      <c r="L794" s="8">
        <f t="shared" si="38"/>
        <v>0.39527041267967794</v>
      </c>
    </row>
    <row r="795" spans="1:12" x14ac:dyDescent="0.2">
      <c r="A795" t="s">
        <v>1116</v>
      </c>
      <c r="B795" s="1" t="d">
        <v>2025-01-29</v>
      </c>
      <c r="C795" s="1" t="str">
        <f t="shared" si="36"/>
        <v>January 2025</v>
      </c>
      <c r="D795" t="s">
        <v>312</v>
      </c>
      <c r="E795" t="s">
        <v>119</v>
      </c>
      <c r="F795" t="s">
        <v>1337</v>
      </c>
      <c r="G795" t="str">
        <f t="shared" si="37"/>
        <v>Non-Campaign</v>
      </c>
      <c r="H795">
        <v>2</v>
      </c>
      <c r="I795" s="4">
        <v>0</v>
      </c>
      <c r="J795">
        <v>250.54</v>
      </c>
      <c r="K795" s="6">
        <v>50.36</v>
      </c>
      <c r="L795" s="8">
        <f t="shared" si="38"/>
        <v>0.20100582741278838</v>
      </c>
    </row>
    <row r="796" spans="1:12" x14ac:dyDescent="0.2">
      <c r="A796" t="s">
        <v>1117</v>
      </c>
      <c r="B796" s="1" t="d">
        <v>2025-05-03</v>
      </c>
      <c r="C796" s="1" t="str">
        <f t="shared" si="36"/>
        <v>May 2025</v>
      </c>
      <c r="D796" t="s">
        <v>340</v>
      </c>
      <c r="E796" t="s">
        <v>44</v>
      </c>
      <c r="F796" t="s">
        <v>16</v>
      </c>
      <c r="G796" t="str">
        <f t="shared" si="37"/>
        <v>Campaign</v>
      </c>
      <c r="H796">
        <v>3</v>
      </c>
      <c r="I796" s="4">
        <v>0</v>
      </c>
      <c r="J796">
        <v>482.19</v>
      </c>
      <c r="K796" s="6">
        <v>168.06</v>
      </c>
      <c r="L796" s="8">
        <f t="shared" si="38"/>
        <v>0.34853480992969577</v>
      </c>
    </row>
    <row r="797" spans="1:12" x14ac:dyDescent="0.2">
      <c r="A797" t="s">
        <v>1118</v>
      </c>
      <c r="B797" s="1" t="d">
        <v>2025-03-06</v>
      </c>
      <c r="C797" s="1" t="str">
        <f t="shared" si="36"/>
        <v>March 2025</v>
      </c>
      <c r="D797" t="s">
        <v>493</v>
      </c>
      <c r="E797" t="s">
        <v>53</v>
      </c>
      <c r="F797" t="s">
        <v>1337</v>
      </c>
      <c r="G797" t="str">
        <f t="shared" si="37"/>
        <v>Non-Campaign</v>
      </c>
      <c r="H797">
        <v>5</v>
      </c>
      <c r="I797" s="4">
        <v>0.1</v>
      </c>
      <c r="J797">
        <v>1505.74</v>
      </c>
      <c r="K797" s="6">
        <v>571.74</v>
      </c>
      <c r="L797" s="8">
        <f t="shared" si="38"/>
        <v>0.37970698792620239</v>
      </c>
    </row>
    <row r="798" spans="1:12" x14ac:dyDescent="0.2">
      <c r="A798" t="s">
        <v>1119</v>
      </c>
      <c r="B798" s="1" t="d">
        <v>2024-08-05</v>
      </c>
      <c r="C798" s="1" t="str">
        <f t="shared" si="36"/>
        <v>August 2024</v>
      </c>
      <c r="D798" t="s">
        <v>873</v>
      </c>
      <c r="E798" t="s">
        <v>53</v>
      </c>
      <c r="F798" t="s">
        <v>1337</v>
      </c>
      <c r="G798" t="str">
        <f t="shared" si="37"/>
        <v>Non-Campaign</v>
      </c>
      <c r="H798">
        <v>2</v>
      </c>
      <c r="I798" s="4">
        <v>0.2</v>
      </c>
      <c r="J798">
        <v>535.38</v>
      </c>
      <c r="K798" s="6">
        <v>161.78</v>
      </c>
      <c r="L798" s="8">
        <f t="shared" si="38"/>
        <v>0.30217789233815234</v>
      </c>
    </row>
    <row r="799" spans="1:12" x14ac:dyDescent="0.2">
      <c r="A799" t="s">
        <v>1120</v>
      </c>
      <c r="B799" s="1" t="d">
        <v>2025-05-13</v>
      </c>
      <c r="C799" s="1" t="str">
        <f t="shared" si="36"/>
        <v>May 2025</v>
      </c>
      <c r="D799" t="s">
        <v>105</v>
      </c>
      <c r="E799" t="s">
        <v>50</v>
      </c>
      <c r="F799" t="s">
        <v>1337</v>
      </c>
      <c r="G799" t="str">
        <f t="shared" si="37"/>
        <v>Non-Campaign</v>
      </c>
      <c r="H799">
        <v>3</v>
      </c>
      <c r="I799" s="4">
        <v>0.3</v>
      </c>
      <c r="J799">
        <v>776.96</v>
      </c>
      <c r="K799" s="6">
        <v>260.45</v>
      </c>
      <c r="L799" s="8">
        <f t="shared" si="38"/>
        <v>0.33521674217462927</v>
      </c>
    </row>
    <row r="800" spans="1:12" x14ac:dyDescent="0.2">
      <c r="A800" t="s">
        <v>1121</v>
      </c>
      <c r="B800" s="1" t="d">
        <v>2025-03-28</v>
      </c>
      <c r="C800" s="1" t="str">
        <f t="shared" si="36"/>
        <v>March 2025</v>
      </c>
      <c r="D800" t="s">
        <v>174</v>
      </c>
      <c r="E800" t="s">
        <v>72</v>
      </c>
      <c r="F800" t="s">
        <v>16</v>
      </c>
      <c r="G800" t="str">
        <f t="shared" si="37"/>
        <v>Campaign</v>
      </c>
      <c r="H800">
        <v>1</v>
      </c>
      <c r="I800" s="4">
        <v>0.2</v>
      </c>
      <c r="J800">
        <v>51.62</v>
      </c>
      <c r="K800" s="6">
        <v>23.32</v>
      </c>
      <c r="L800" s="8">
        <f t="shared" si="38"/>
        <v>0.451762882603642</v>
      </c>
    </row>
    <row r="801" spans="1:12" x14ac:dyDescent="0.2">
      <c r="A801" t="s">
        <v>1122</v>
      </c>
      <c r="B801" s="1" t="d">
        <v>2024-08-30</v>
      </c>
      <c r="C801" s="1" t="str">
        <f t="shared" si="36"/>
        <v>August 2024</v>
      </c>
      <c r="D801" t="s">
        <v>1030</v>
      </c>
      <c r="E801" t="s">
        <v>11</v>
      </c>
      <c r="F801" t="s">
        <v>109</v>
      </c>
      <c r="G801" t="str">
        <f t="shared" si="37"/>
        <v>Campaign</v>
      </c>
      <c r="H801">
        <v>3</v>
      </c>
      <c r="I801" s="4">
        <v>0.2</v>
      </c>
      <c r="J801">
        <v>485.9</v>
      </c>
      <c r="K801" s="6">
        <v>132.80000000000001</v>
      </c>
      <c r="L801" s="8">
        <f t="shared" si="38"/>
        <v>0.27330726486931473</v>
      </c>
    </row>
    <row r="802" spans="1:12" x14ac:dyDescent="0.2">
      <c r="A802" t="s">
        <v>1123</v>
      </c>
      <c r="B802" s="1" t="d">
        <v>2024-10-31</v>
      </c>
      <c r="C802" s="1" t="str">
        <f t="shared" si="36"/>
        <v>October 2024</v>
      </c>
      <c r="D802" t="s">
        <v>93</v>
      </c>
      <c r="E802" t="s">
        <v>11</v>
      </c>
      <c r="F802" t="s">
        <v>12</v>
      </c>
      <c r="G802" t="str">
        <f t="shared" si="37"/>
        <v>Campaign</v>
      </c>
      <c r="H802">
        <v>5</v>
      </c>
      <c r="I802" s="4">
        <v>0.15</v>
      </c>
      <c r="J802">
        <v>860.46</v>
      </c>
      <c r="K802" s="6">
        <v>271.95999999999998</v>
      </c>
      <c r="L802" s="8">
        <f t="shared" si="38"/>
        <v>0.31606350091811353</v>
      </c>
    </row>
    <row r="803" spans="1:12" x14ac:dyDescent="0.2">
      <c r="A803" t="s">
        <v>1124</v>
      </c>
      <c r="B803" s="1" t="d">
        <v>2024-11-15</v>
      </c>
      <c r="C803" s="1" t="str">
        <f t="shared" si="36"/>
        <v>November 2024</v>
      </c>
      <c r="D803" t="s">
        <v>1125</v>
      </c>
      <c r="E803" t="s">
        <v>135</v>
      </c>
      <c r="F803" t="s">
        <v>12</v>
      </c>
      <c r="G803" t="str">
        <f t="shared" si="37"/>
        <v>Campaign</v>
      </c>
      <c r="H803">
        <v>5</v>
      </c>
      <c r="I803" s="4">
        <v>0.1</v>
      </c>
      <c r="J803">
        <v>914.31</v>
      </c>
      <c r="K803" s="6">
        <v>103.16</v>
      </c>
      <c r="L803" s="8">
        <f t="shared" si="38"/>
        <v>0.1128282529995297</v>
      </c>
    </row>
    <row r="804" spans="1:12" x14ac:dyDescent="0.2">
      <c r="A804" t="s">
        <v>1126</v>
      </c>
      <c r="B804" s="1" t="d">
        <v>2024-07-29</v>
      </c>
      <c r="C804" s="1" t="str">
        <f t="shared" si="36"/>
        <v>July 2024</v>
      </c>
      <c r="D804" t="s">
        <v>239</v>
      </c>
      <c r="E804" t="s">
        <v>165</v>
      </c>
      <c r="F804" t="s">
        <v>20</v>
      </c>
      <c r="G804" t="str">
        <f t="shared" si="37"/>
        <v>Campaign</v>
      </c>
      <c r="H804">
        <v>5</v>
      </c>
      <c r="I804" s="4">
        <v>0.15</v>
      </c>
      <c r="J804">
        <v>339.66</v>
      </c>
      <c r="K804" s="6">
        <v>32.409999999999997</v>
      </c>
      <c r="L804" s="8">
        <f t="shared" si="38"/>
        <v>9.5418948360124808E-2</v>
      </c>
    </row>
    <row r="805" spans="1:12" x14ac:dyDescent="0.2">
      <c r="A805" t="s">
        <v>1127</v>
      </c>
      <c r="B805" s="1" t="d">
        <v>2025-02-23</v>
      </c>
      <c r="C805" s="1" t="str">
        <f t="shared" si="36"/>
        <v>February 2025</v>
      </c>
      <c r="D805" t="s">
        <v>1026</v>
      </c>
      <c r="E805" t="s">
        <v>38</v>
      </c>
      <c r="F805" t="s">
        <v>1337</v>
      </c>
      <c r="G805" t="str">
        <f t="shared" si="37"/>
        <v>Non-Campaign</v>
      </c>
      <c r="H805">
        <v>5</v>
      </c>
      <c r="I805" s="4">
        <v>0.05</v>
      </c>
      <c r="J805">
        <v>2230.5500000000002</v>
      </c>
      <c r="K805" s="6">
        <v>682.75</v>
      </c>
      <c r="L805" s="8">
        <f t="shared" si="38"/>
        <v>0.30609042612808496</v>
      </c>
    </row>
    <row r="806" spans="1:12" x14ac:dyDescent="0.2">
      <c r="A806" t="s">
        <v>1128</v>
      </c>
      <c r="B806" s="1" t="d">
        <v>2025-05-22</v>
      </c>
      <c r="C806" s="1" t="str">
        <f t="shared" si="36"/>
        <v>May 2025</v>
      </c>
      <c r="D806" t="s">
        <v>347</v>
      </c>
      <c r="E806" t="s">
        <v>165</v>
      </c>
      <c r="F806" t="s">
        <v>1337</v>
      </c>
      <c r="G806" t="str">
        <f t="shared" si="37"/>
        <v>Non-Campaign</v>
      </c>
      <c r="H806">
        <v>3</v>
      </c>
      <c r="I806" s="4">
        <v>0</v>
      </c>
      <c r="J806">
        <v>239.76</v>
      </c>
      <c r="K806" s="6">
        <v>55.41</v>
      </c>
      <c r="L806" s="8">
        <f t="shared" si="38"/>
        <v>0.2311061061061061</v>
      </c>
    </row>
    <row r="807" spans="1:12" x14ac:dyDescent="0.2">
      <c r="A807" t="s">
        <v>1129</v>
      </c>
      <c r="B807" s="1" t="d">
        <v>2024-08-11</v>
      </c>
      <c r="C807" s="1" t="str">
        <f t="shared" si="36"/>
        <v>August 2024</v>
      </c>
      <c r="D807" t="s">
        <v>373</v>
      </c>
      <c r="E807" t="s">
        <v>38</v>
      </c>
      <c r="F807" t="s">
        <v>20</v>
      </c>
      <c r="G807" t="str">
        <f t="shared" si="37"/>
        <v>Campaign</v>
      </c>
      <c r="H807">
        <v>1</v>
      </c>
      <c r="I807" s="4">
        <v>0.05</v>
      </c>
      <c r="J807">
        <v>446.11</v>
      </c>
      <c r="K807" s="6">
        <v>136.55000000000001</v>
      </c>
      <c r="L807" s="8">
        <f t="shared" si="38"/>
        <v>0.30609042612808501</v>
      </c>
    </row>
    <row r="808" spans="1:12" x14ac:dyDescent="0.2">
      <c r="A808" t="s">
        <v>1130</v>
      </c>
      <c r="B808" s="1" t="d">
        <v>2025-02-23</v>
      </c>
      <c r="C808" s="1" t="str">
        <f t="shared" si="36"/>
        <v>February 2025</v>
      </c>
      <c r="D808" t="s">
        <v>590</v>
      </c>
      <c r="E808" t="s">
        <v>65</v>
      </c>
      <c r="F808" t="s">
        <v>12</v>
      </c>
      <c r="G808" t="str">
        <f t="shared" si="37"/>
        <v>Campaign</v>
      </c>
      <c r="H808">
        <v>2</v>
      </c>
      <c r="I808" s="4">
        <v>0</v>
      </c>
      <c r="J808">
        <v>193.58</v>
      </c>
      <c r="K808" s="6">
        <v>63.46</v>
      </c>
      <c r="L808" s="8">
        <f t="shared" si="38"/>
        <v>0.32782312222337018</v>
      </c>
    </row>
    <row r="809" spans="1:12" x14ac:dyDescent="0.2">
      <c r="A809" t="s">
        <v>1131</v>
      </c>
      <c r="B809" s="1" t="d">
        <v>2025-03-26</v>
      </c>
      <c r="C809" s="1" t="str">
        <f t="shared" si="36"/>
        <v>March 2025</v>
      </c>
      <c r="D809" t="s">
        <v>493</v>
      </c>
      <c r="E809" t="s">
        <v>15</v>
      </c>
      <c r="F809" t="s">
        <v>20</v>
      </c>
      <c r="G809" t="str">
        <f t="shared" si="37"/>
        <v>Campaign</v>
      </c>
      <c r="H809">
        <v>1</v>
      </c>
      <c r="I809" s="4">
        <v>0.2</v>
      </c>
      <c r="J809">
        <v>325.43</v>
      </c>
      <c r="K809" s="6">
        <v>49.12</v>
      </c>
      <c r="L809" s="8">
        <f t="shared" si="38"/>
        <v>0.15093875795101863</v>
      </c>
    </row>
    <row r="810" spans="1:12" x14ac:dyDescent="0.2">
      <c r="A810" t="s">
        <v>1132</v>
      </c>
      <c r="B810" s="1" t="d">
        <v>2025-04-20</v>
      </c>
      <c r="C810" s="1" t="str">
        <f t="shared" si="36"/>
        <v>April 2025</v>
      </c>
      <c r="D810" t="s">
        <v>651</v>
      </c>
      <c r="E810" t="s">
        <v>96</v>
      </c>
      <c r="F810" t="s">
        <v>1337</v>
      </c>
      <c r="G810" t="str">
        <f t="shared" si="37"/>
        <v>Non-Campaign</v>
      </c>
      <c r="H810">
        <v>5</v>
      </c>
      <c r="I810" s="4">
        <v>0.2</v>
      </c>
      <c r="J810">
        <v>207.08</v>
      </c>
      <c r="K810" s="6">
        <v>8.98</v>
      </c>
      <c r="L810" s="8">
        <f t="shared" si="38"/>
        <v>4.3364883136951901E-2</v>
      </c>
    </row>
    <row r="811" spans="1:12" x14ac:dyDescent="0.2">
      <c r="A811" t="s">
        <v>1133</v>
      </c>
      <c r="B811" s="1" t="d">
        <v>2024-12-05</v>
      </c>
      <c r="C811" s="1" t="str">
        <f t="shared" si="36"/>
        <v>December 2024</v>
      </c>
      <c r="D811" t="s">
        <v>14</v>
      </c>
      <c r="E811" t="s">
        <v>58</v>
      </c>
      <c r="F811" t="s">
        <v>1337</v>
      </c>
      <c r="G811" t="str">
        <f t="shared" si="37"/>
        <v>Non-Campaign</v>
      </c>
      <c r="H811">
        <v>2</v>
      </c>
      <c r="I811" s="4">
        <v>0.2</v>
      </c>
      <c r="J811">
        <v>110.72</v>
      </c>
      <c r="K811" s="6">
        <v>14.36</v>
      </c>
      <c r="L811" s="8">
        <f t="shared" si="38"/>
        <v>0.12969653179190752</v>
      </c>
    </row>
    <row r="812" spans="1:12" x14ac:dyDescent="0.2">
      <c r="A812" t="s">
        <v>1134</v>
      </c>
      <c r="B812" s="1" t="d">
        <v>2024-09-21</v>
      </c>
      <c r="C812" s="1" t="str">
        <f t="shared" si="36"/>
        <v>September 2024</v>
      </c>
      <c r="D812" t="s">
        <v>1135</v>
      </c>
      <c r="E812" t="s">
        <v>29</v>
      </c>
      <c r="F812" t="s">
        <v>30</v>
      </c>
      <c r="G812" t="str">
        <f t="shared" si="37"/>
        <v>Campaign</v>
      </c>
      <c r="H812">
        <v>4</v>
      </c>
      <c r="I812" s="4">
        <v>0</v>
      </c>
      <c r="J812">
        <v>1503.76</v>
      </c>
      <c r="K812" s="6">
        <v>754.96</v>
      </c>
      <c r="L812" s="8">
        <f t="shared" si="38"/>
        <v>0.5020481991807203</v>
      </c>
    </row>
    <row r="813" spans="1:12" x14ac:dyDescent="0.2">
      <c r="A813" t="s">
        <v>1136</v>
      </c>
      <c r="B813" s="1" t="d">
        <v>2025-01-23</v>
      </c>
      <c r="C813" s="1" t="str">
        <f t="shared" si="36"/>
        <v>January 2025</v>
      </c>
      <c r="D813" t="s">
        <v>174</v>
      </c>
      <c r="E813" t="s">
        <v>119</v>
      </c>
      <c r="F813" t="s">
        <v>12</v>
      </c>
      <c r="G813" t="str">
        <f t="shared" si="37"/>
        <v>Campaign</v>
      </c>
      <c r="H813">
        <v>3</v>
      </c>
      <c r="I813" s="4">
        <v>0.2</v>
      </c>
      <c r="J813">
        <v>300.64999999999998</v>
      </c>
      <c r="K813" s="6">
        <v>0.38</v>
      </c>
      <c r="L813" s="8">
        <f t="shared" si="38"/>
        <v>1.2639281556627309E-3</v>
      </c>
    </row>
    <row r="814" spans="1:12" x14ac:dyDescent="0.2">
      <c r="A814" t="s">
        <v>1137</v>
      </c>
      <c r="B814" s="1" t="d">
        <v>2024-10-19</v>
      </c>
      <c r="C814" s="1" t="str">
        <f t="shared" si="36"/>
        <v>October 2024</v>
      </c>
      <c r="D814" t="s">
        <v>279</v>
      </c>
      <c r="E814" t="s">
        <v>130</v>
      </c>
      <c r="F814" t="s">
        <v>1337</v>
      </c>
      <c r="G814" t="str">
        <f t="shared" si="37"/>
        <v>Non-Campaign</v>
      </c>
      <c r="H814">
        <v>1</v>
      </c>
      <c r="I814" s="4">
        <v>0.2</v>
      </c>
      <c r="J814">
        <v>306.22000000000003</v>
      </c>
      <c r="K814" s="6">
        <v>21.26</v>
      </c>
      <c r="L814" s="8">
        <f t="shared" si="38"/>
        <v>6.942720919600287E-2</v>
      </c>
    </row>
    <row r="815" spans="1:12" x14ac:dyDescent="0.2">
      <c r="A815" t="s">
        <v>1138</v>
      </c>
      <c r="B815" s="1" t="d">
        <v>2025-02-23</v>
      </c>
      <c r="C815" s="1" t="str">
        <f t="shared" si="36"/>
        <v>February 2025</v>
      </c>
      <c r="D815" t="s">
        <v>167</v>
      </c>
      <c r="E815" t="s">
        <v>38</v>
      </c>
      <c r="F815" t="s">
        <v>12</v>
      </c>
      <c r="G815" t="str">
        <f t="shared" si="37"/>
        <v>Campaign</v>
      </c>
      <c r="H815">
        <v>1</v>
      </c>
      <c r="I815" s="4">
        <v>0.1</v>
      </c>
      <c r="J815">
        <v>422.63</v>
      </c>
      <c r="K815" s="6">
        <v>113.07</v>
      </c>
      <c r="L815" s="8">
        <f t="shared" si="38"/>
        <v>0.26753898208835147</v>
      </c>
    </row>
    <row r="816" spans="1:12" x14ac:dyDescent="0.2">
      <c r="A816" t="s">
        <v>1139</v>
      </c>
      <c r="B816" s="1" t="d">
        <v>2025-05-31</v>
      </c>
      <c r="C816" s="1" t="str">
        <f t="shared" si="36"/>
        <v>May 2025</v>
      </c>
      <c r="D816" t="s">
        <v>1140</v>
      </c>
      <c r="E816" t="s">
        <v>15</v>
      </c>
      <c r="F816" t="s">
        <v>20</v>
      </c>
      <c r="G816" t="str">
        <f t="shared" si="37"/>
        <v>Campaign</v>
      </c>
      <c r="H816">
        <v>1</v>
      </c>
      <c r="I816" s="4">
        <v>0.3</v>
      </c>
      <c r="J816">
        <v>284.75</v>
      </c>
      <c r="K816" s="6">
        <v>8.44</v>
      </c>
      <c r="L816" s="8">
        <f t="shared" si="38"/>
        <v>2.9640035118525022E-2</v>
      </c>
    </row>
    <row r="817" spans="1:12" x14ac:dyDescent="0.2">
      <c r="A817" t="s">
        <v>1141</v>
      </c>
      <c r="B817" s="1" t="d">
        <v>2025-04-23</v>
      </c>
      <c r="C817" s="1" t="str">
        <f t="shared" si="36"/>
        <v>April 2025</v>
      </c>
      <c r="D817" t="s">
        <v>365</v>
      </c>
      <c r="E817" t="s">
        <v>50</v>
      </c>
      <c r="F817" t="s">
        <v>1337</v>
      </c>
      <c r="G817" t="str">
        <f t="shared" si="37"/>
        <v>Non-Campaign</v>
      </c>
      <c r="H817">
        <v>2</v>
      </c>
      <c r="I817" s="4">
        <v>0.05</v>
      </c>
      <c r="J817">
        <v>702.96</v>
      </c>
      <c r="K817" s="6">
        <v>358.62</v>
      </c>
      <c r="L817" s="8">
        <f t="shared" si="38"/>
        <v>0.51015705018777735</v>
      </c>
    </row>
    <row r="818" spans="1:12" x14ac:dyDescent="0.2">
      <c r="A818" t="s">
        <v>1142</v>
      </c>
      <c r="B818" s="1" t="d">
        <v>2024-09-16</v>
      </c>
      <c r="C818" s="1" t="str">
        <f t="shared" si="36"/>
        <v>September 2024</v>
      </c>
      <c r="D818" t="s">
        <v>283</v>
      </c>
      <c r="E818" t="s">
        <v>96</v>
      </c>
      <c r="F818" t="s">
        <v>30</v>
      </c>
      <c r="G818" t="str">
        <f t="shared" si="37"/>
        <v>Campaign</v>
      </c>
      <c r="H818">
        <v>5</v>
      </c>
      <c r="I818" s="4">
        <v>0.3</v>
      </c>
      <c r="J818">
        <v>181.2</v>
      </c>
      <c r="K818" s="6">
        <v>-16.899999999999999</v>
      </c>
      <c r="L818" s="8">
        <f t="shared" si="38"/>
        <v>-9.3267108167770424E-2</v>
      </c>
    </row>
    <row r="819" spans="1:12" x14ac:dyDescent="0.2">
      <c r="A819" t="s">
        <v>1143</v>
      </c>
      <c r="B819" s="1" t="d">
        <v>2025-03-06</v>
      </c>
      <c r="C819" s="1" t="str">
        <f t="shared" si="36"/>
        <v>March 2025</v>
      </c>
      <c r="D819" t="s">
        <v>590</v>
      </c>
      <c r="E819" t="s">
        <v>50</v>
      </c>
      <c r="F819" t="s">
        <v>1337</v>
      </c>
      <c r="G819" t="str">
        <f t="shared" si="37"/>
        <v>Non-Campaign</v>
      </c>
      <c r="H819">
        <v>1</v>
      </c>
      <c r="I819" s="4">
        <v>0.3</v>
      </c>
      <c r="J819">
        <v>258.99</v>
      </c>
      <c r="K819" s="6">
        <v>86.82</v>
      </c>
      <c r="L819" s="8">
        <f t="shared" si="38"/>
        <v>0.33522529827406461</v>
      </c>
    </row>
    <row r="820" spans="1:12" x14ac:dyDescent="0.2">
      <c r="A820" t="s">
        <v>1144</v>
      </c>
      <c r="B820" s="1" t="d">
        <v>2025-01-21</v>
      </c>
      <c r="C820" s="1" t="str">
        <f t="shared" si="36"/>
        <v>January 2025</v>
      </c>
      <c r="D820" t="s">
        <v>526</v>
      </c>
      <c r="E820" t="s">
        <v>44</v>
      </c>
      <c r="F820" t="s">
        <v>1337</v>
      </c>
      <c r="G820" t="str">
        <f t="shared" si="37"/>
        <v>Non-Campaign</v>
      </c>
      <c r="H820">
        <v>4</v>
      </c>
      <c r="I820" s="4">
        <v>0</v>
      </c>
      <c r="J820">
        <v>642.91999999999996</v>
      </c>
      <c r="K820" s="6">
        <v>224.08</v>
      </c>
      <c r="L820" s="8">
        <f t="shared" si="38"/>
        <v>0.34853480992969582</v>
      </c>
    </row>
    <row r="821" spans="1:12" x14ac:dyDescent="0.2">
      <c r="A821" t="s">
        <v>1145</v>
      </c>
      <c r="B821" s="1" t="d">
        <v>2024-10-14</v>
      </c>
      <c r="C821" s="1" t="str">
        <f t="shared" si="36"/>
        <v>October 2024</v>
      </c>
      <c r="D821" t="s">
        <v>585</v>
      </c>
      <c r="E821" t="s">
        <v>119</v>
      </c>
      <c r="F821" t="s">
        <v>16</v>
      </c>
      <c r="G821" t="str">
        <f t="shared" si="37"/>
        <v>Campaign</v>
      </c>
      <c r="H821">
        <v>5</v>
      </c>
      <c r="I821" s="4">
        <v>0.15</v>
      </c>
      <c r="J821">
        <v>532.4</v>
      </c>
      <c r="K821" s="6">
        <v>31.95</v>
      </c>
      <c r="L821" s="8">
        <f t="shared" si="38"/>
        <v>6.0011269722013524E-2</v>
      </c>
    </row>
    <row r="822" spans="1:12" x14ac:dyDescent="0.2">
      <c r="A822" t="s">
        <v>1146</v>
      </c>
      <c r="B822" s="1" t="d">
        <v>2024-06-30</v>
      </c>
      <c r="C822" s="1" t="str">
        <f t="shared" si="36"/>
        <v>June 2024</v>
      </c>
      <c r="D822" t="s">
        <v>190</v>
      </c>
      <c r="E822" t="s">
        <v>165</v>
      </c>
      <c r="F822" t="s">
        <v>16</v>
      </c>
      <c r="G822" t="str">
        <f t="shared" si="37"/>
        <v>Campaign</v>
      </c>
      <c r="H822">
        <v>5</v>
      </c>
      <c r="I822" s="4">
        <v>0.2</v>
      </c>
      <c r="J822">
        <v>319.68</v>
      </c>
      <c r="K822" s="6">
        <v>12.43</v>
      </c>
      <c r="L822" s="8">
        <f t="shared" si="38"/>
        <v>3.8882632632632634E-2</v>
      </c>
    </row>
    <row r="823" spans="1:12" x14ac:dyDescent="0.2">
      <c r="A823" t="s">
        <v>1147</v>
      </c>
      <c r="B823" s="1" t="d">
        <v>2025-06-08</v>
      </c>
      <c r="C823" s="1" t="str">
        <f t="shared" si="36"/>
        <v>June 2025</v>
      </c>
      <c r="D823" t="s">
        <v>547</v>
      </c>
      <c r="E823" t="s">
        <v>138</v>
      </c>
      <c r="F823" t="s">
        <v>1337</v>
      </c>
      <c r="G823" t="str">
        <f t="shared" si="37"/>
        <v>Non-Campaign</v>
      </c>
      <c r="H823">
        <v>3</v>
      </c>
      <c r="I823" s="4">
        <v>0.2</v>
      </c>
      <c r="J823">
        <v>1039.6099999999999</v>
      </c>
      <c r="K823" s="6">
        <v>513.83000000000004</v>
      </c>
      <c r="L823" s="8">
        <f t="shared" si="38"/>
        <v>0.49425265243697164</v>
      </c>
    </row>
    <row r="824" spans="1:12" x14ac:dyDescent="0.2">
      <c r="A824" t="s">
        <v>1148</v>
      </c>
      <c r="B824" s="1" t="d">
        <v>2024-08-22</v>
      </c>
      <c r="C824" s="1" t="str">
        <f t="shared" si="36"/>
        <v>August 2024</v>
      </c>
      <c r="D824" t="s">
        <v>416</v>
      </c>
      <c r="E824" t="s">
        <v>65</v>
      </c>
      <c r="F824" t="s">
        <v>1337</v>
      </c>
      <c r="G824" t="str">
        <f t="shared" si="37"/>
        <v>Non-Campaign</v>
      </c>
      <c r="H824">
        <v>4</v>
      </c>
      <c r="I824" s="4">
        <v>0.3</v>
      </c>
      <c r="J824">
        <v>271.01</v>
      </c>
      <c r="K824" s="6">
        <v>10.77</v>
      </c>
      <c r="L824" s="8">
        <f t="shared" si="38"/>
        <v>3.974023098778643E-2</v>
      </c>
    </row>
    <row r="825" spans="1:12" x14ac:dyDescent="0.2">
      <c r="A825" t="s">
        <v>1149</v>
      </c>
      <c r="B825" s="1" t="d">
        <v>2025-02-09</v>
      </c>
      <c r="C825" s="1" t="str">
        <f t="shared" si="36"/>
        <v>February 2025</v>
      </c>
      <c r="D825" t="s">
        <v>74</v>
      </c>
      <c r="E825" t="s">
        <v>130</v>
      </c>
      <c r="F825" t="s">
        <v>1337</v>
      </c>
      <c r="G825" t="str">
        <f t="shared" si="37"/>
        <v>Non-Campaign</v>
      </c>
      <c r="H825">
        <v>5</v>
      </c>
      <c r="I825" s="4">
        <v>0.05</v>
      </c>
      <c r="J825">
        <v>1818.2</v>
      </c>
      <c r="K825" s="6">
        <v>393.4</v>
      </c>
      <c r="L825" s="8">
        <f t="shared" si="38"/>
        <v>0.21636783632163675</v>
      </c>
    </row>
    <row r="826" spans="1:12" x14ac:dyDescent="0.2">
      <c r="A826" t="s">
        <v>1150</v>
      </c>
      <c r="B826" s="1" t="d">
        <v>2024-10-09</v>
      </c>
      <c r="C826" s="1" t="str">
        <f t="shared" si="36"/>
        <v>October 2024</v>
      </c>
      <c r="D826" t="s">
        <v>354</v>
      </c>
      <c r="E826" t="s">
        <v>50</v>
      </c>
      <c r="F826" t="s">
        <v>30</v>
      </c>
      <c r="G826" t="str">
        <f t="shared" si="37"/>
        <v>Campaign</v>
      </c>
      <c r="H826">
        <v>4</v>
      </c>
      <c r="I826" s="4">
        <v>0.2</v>
      </c>
      <c r="J826">
        <v>1183.94</v>
      </c>
      <c r="K826" s="6">
        <v>495.26</v>
      </c>
      <c r="L826" s="8">
        <f t="shared" si="38"/>
        <v>0.41831511732013443</v>
      </c>
    </row>
    <row r="827" spans="1:12" x14ac:dyDescent="0.2">
      <c r="A827" t="s">
        <v>1151</v>
      </c>
      <c r="B827" s="1" t="d">
        <v>2025-03-17</v>
      </c>
      <c r="C827" s="1" t="str">
        <f t="shared" si="36"/>
        <v>March 2025</v>
      </c>
      <c r="D827" t="s">
        <v>336</v>
      </c>
      <c r="E827" t="s">
        <v>44</v>
      </c>
      <c r="F827" t="s">
        <v>1337</v>
      </c>
      <c r="G827" t="str">
        <f t="shared" si="37"/>
        <v>Non-Campaign</v>
      </c>
      <c r="H827">
        <v>4</v>
      </c>
      <c r="I827" s="4">
        <v>0.15</v>
      </c>
      <c r="J827">
        <v>546.48</v>
      </c>
      <c r="K827" s="6">
        <v>127.64</v>
      </c>
      <c r="L827" s="8">
        <f t="shared" si="38"/>
        <v>0.23356755965451617</v>
      </c>
    </row>
    <row r="828" spans="1:12" x14ac:dyDescent="0.2">
      <c r="A828" t="s">
        <v>1152</v>
      </c>
      <c r="B828" s="1" t="d">
        <v>2024-07-10</v>
      </c>
      <c r="C828" s="1" t="str">
        <f t="shared" si="36"/>
        <v>July 2024</v>
      </c>
      <c r="D828" t="s">
        <v>531</v>
      </c>
      <c r="E828" t="s">
        <v>85</v>
      </c>
      <c r="F828" t="s">
        <v>12</v>
      </c>
      <c r="G828" t="str">
        <f t="shared" si="37"/>
        <v>Campaign</v>
      </c>
      <c r="H828">
        <v>3</v>
      </c>
      <c r="I828" s="4">
        <v>0.2</v>
      </c>
      <c r="J828">
        <v>353.14</v>
      </c>
      <c r="K828" s="6">
        <v>133.03</v>
      </c>
      <c r="L828" s="8">
        <f t="shared" si="38"/>
        <v>0.3767061222178173</v>
      </c>
    </row>
    <row r="829" spans="1:12" x14ac:dyDescent="0.2">
      <c r="A829" t="s">
        <v>1153</v>
      </c>
      <c r="B829" s="1" t="d">
        <v>2025-06-23</v>
      </c>
      <c r="C829" s="1" t="str">
        <f t="shared" si="36"/>
        <v>June 2025</v>
      </c>
      <c r="D829" t="s">
        <v>43</v>
      </c>
      <c r="E829" t="s">
        <v>38</v>
      </c>
      <c r="F829" t="s">
        <v>16</v>
      </c>
      <c r="G829" t="str">
        <f t="shared" si="37"/>
        <v>Campaign</v>
      </c>
      <c r="H829">
        <v>3</v>
      </c>
      <c r="I829" s="4">
        <v>0</v>
      </c>
      <c r="J829">
        <v>1408.77</v>
      </c>
      <c r="K829" s="6">
        <v>480.09</v>
      </c>
      <c r="L829" s="8">
        <f t="shared" si="38"/>
        <v>0.34078664366788047</v>
      </c>
    </row>
    <row r="830" spans="1:12" x14ac:dyDescent="0.2">
      <c r="A830" t="s">
        <v>1154</v>
      </c>
      <c r="B830" s="1" t="d">
        <v>2025-04-06</v>
      </c>
      <c r="C830" s="1" t="str">
        <f t="shared" si="36"/>
        <v>April 2025</v>
      </c>
      <c r="D830" t="s">
        <v>204</v>
      </c>
      <c r="E830" t="s">
        <v>103</v>
      </c>
      <c r="F830" t="s">
        <v>30</v>
      </c>
      <c r="G830" t="str">
        <f t="shared" si="37"/>
        <v>Campaign</v>
      </c>
      <c r="H830">
        <v>3</v>
      </c>
      <c r="I830" s="4">
        <v>0</v>
      </c>
      <c r="J830">
        <v>283.89</v>
      </c>
      <c r="K830" s="6">
        <v>61.65</v>
      </c>
      <c r="L830" s="8">
        <f t="shared" si="38"/>
        <v>0.21716157666701891</v>
      </c>
    </row>
    <row r="831" spans="1:12" x14ac:dyDescent="0.2">
      <c r="A831" t="s">
        <v>1155</v>
      </c>
      <c r="B831" s="1" t="d">
        <v>2024-11-06</v>
      </c>
      <c r="C831" s="1" t="str">
        <f t="shared" si="36"/>
        <v>November 2024</v>
      </c>
      <c r="D831" t="s">
        <v>1156</v>
      </c>
      <c r="E831" t="s">
        <v>138</v>
      </c>
      <c r="F831" t="s">
        <v>16</v>
      </c>
      <c r="G831" t="str">
        <f t="shared" si="37"/>
        <v>Campaign</v>
      </c>
      <c r="H831">
        <v>1</v>
      </c>
      <c r="I831" s="4">
        <v>0</v>
      </c>
      <c r="J831">
        <v>433.17</v>
      </c>
      <c r="K831" s="6">
        <v>257.91000000000003</v>
      </c>
      <c r="L831" s="8">
        <f t="shared" si="38"/>
        <v>0.59540134358335073</v>
      </c>
    </row>
    <row r="832" spans="1:12" x14ac:dyDescent="0.2">
      <c r="A832" t="s">
        <v>1157</v>
      </c>
      <c r="B832" s="1" t="d">
        <v>2024-07-05</v>
      </c>
      <c r="C832" s="1" t="str">
        <f t="shared" si="36"/>
        <v>July 2024</v>
      </c>
      <c r="D832" t="s">
        <v>223</v>
      </c>
      <c r="E832" t="s">
        <v>44</v>
      </c>
      <c r="F832" t="s">
        <v>16</v>
      </c>
      <c r="G832" t="str">
        <f t="shared" si="37"/>
        <v>Campaign</v>
      </c>
      <c r="H832">
        <v>2</v>
      </c>
      <c r="I832" s="4">
        <v>0.1</v>
      </c>
      <c r="J832">
        <v>289.31</v>
      </c>
      <c r="K832" s="6">
        <v>79.89</v>
      </c>
      <c r="L832" s="8">
        <f t="shared" si="38"/>
        <v>0.27613978085790331</v>
      </c>
    </row>
    <row r="833" spans="1:12" x14ac:dyDescent="0.2">
      <c r="A833" t="s">
        <v>1158</v>
      </c>
      <c r="B833" s="1" t="d">
        <v>2024-11-21</v>
      </c>
      <c r="C833" s="1" t="str">
        <f t="shared" si="36"/>
        <v>November 2024</v>
      </c>
      <c r="D833" t="s">
        <v>93</v>
      </c>
      <c r="E833" t="s">
        <v>135</v>
      </c>
      <c r="F833" t="s">
        <v>30</v>
      </c>
      <c r="G833" t="str">
        <f t="shared" si="37"/>
        <v>Campaign</v>
      </c>
      <c r="H833">
        <v>2</v>
      </c>
      <c r="I833" s="4">
        <v>0.1</v>
      </c>
      <c r="J833">
        <v>365.72</v>
      </c>
      <c r="K833" s="6">
        <v>41.26</v>
      </c>
      <c r="L833" s="8">
        <f t="shared" si="38"/>
        <v>0.11281854971016077</v>
      </c>
    </row>
    <row r="834" spans="1:12" x14ac:dyDescent="0.2">
      <c r="A834" t="s">
        <v>1159</v>
      </c>
      <c r="B834" s="1" t="d">
        <v>2024-07-21</v>
      </c>
      <c r="C834" s="1" t="str">
        <f t="shared" ref="C834:C897" si="39">TEXT(B834, "mmmm yyyy")</f>
        <v>July 2024</v>
      </c>
      <c r="D834" t="s">
        <v>204</v>
      </c>
      <c r="E834" t="s">
        <v>26</v>
      </c>
      <c r="F834" t="s">
        <v>1337</v>
      </c>
      <c r="G834" t="str">
        <f t="shared" ref="G834:G897" si="40">IF(F834="No Campaign", "Non-Campaign", "Campaign")</f>
        <v>Non-Campaign</v>
      </c>
      <c r="H834">
        <v>5</v>
      </c>
      <c r="I834" s="4">
        <v>0.05</v>
      </c>
      <c r="J834">
        <v>1056.97</v>
      </c>
      <c r="K834" s="6">
        <v>598.66999999999996</v>
      </c>
      <c r="L834" s="8">
        <f t="shared" ref="L834:L897" si="41">IF(J834=0, 0,K834/J834)</f>
        <v>0.56640207385261643</v>
      </c>
    </row>
    <row r="835" spans="1:12" x14ac:dyDescent="0.2">
      <c r="A835" t="s">
        <v>1160</v>
      </c>
      <c r="B835" s="1" t="d">
        <v>2025-05-16</v>
      </c>
      <c r="C835" s="1" t="str">
        <f t="shared" si="39"/>
        <v>May 2025</v>
      </c>
      <c r="D835" t="s">
        <v>1140</v>
      </c>
      <c r="E835" t="s">
        <v>85</v>
      </c>
      <c r="F835" t="s">
        <v>1337</v>
      </c>
      <c r="G835" t="str">
        <f t="shared" si="40"/>
        <v>Non-Campaign</v>
      </c>
      <c r="H835">
        <v>4</v>
      </c>
      <c r="I835" s="4">
        <v>0.05</v>
      </c>
      <c r="J835">
        <v>559.13</v>
      </c>
      <c r="K835" s="6">
        <v>265.64999999999998</v>
      </c>
      <c r="L835" s="8">
        <f t="shared" si="41"/>
        <v>0.47511312217194568</v>
      </c>
    </row>
    <row r="836" spans="1:12" x14ac:dyDescent="0.2">
      <c r="A836" t="s">
        <v>1161</v>
      </c>
      <c r="B836" s="1" t="d">
        <v>2024-12-16</v>
      </c>
      <c r="C836" s="1" t="str">
        <f t="shared" si="39"/>
        <v>December 2024</v>
      </c>
      <c r="D836" t="s">
        <v>489</v>
      </c>
      <c r="E836" t="s">
        <v>130</v>
      </c>
      <c r="F836" t="s">
        <v>20</v>
      </c>
      <c r="G836" t="str">
        <f t="shared" si="40"/>
        <v>Campaign</v>
      </c>
      <c r="H836">
        <v>5</v>
      </c>
      <c r="I836" s="4">
        <v>0.3</v>
      </c>
      <c r="J836">
        <v>1339.73</v>
      </c>
      <c r="K836" s="6">
        <v>-85.07</v>
      </c>
      <c r="L836" s="8">
        <f t="shared" si="41"/>
        <v>-6.3497868973599159E-2</v>
      </c>
    </row>
    <row r="837" spans="1:12" x14ac:dyDescent="0.2">
      <c r="A837" t="s">
        <v>1162</v>
      </c>
      <c r="B837" s="1" t="d">
        <v>2024-10-12</v>
      </c>
      <c r="C837" s="1" t="str">
        <f t="shared" si="39"/>
        <v>October 2024</v>
      </c>
      <c r="D837" t="s">
        <v>204</v>
      </c>
      <c r="E837" t="s">
        <v>58</v>
      </c>
      <c r="F837" t="s">
        <v>1337</v>
      </c>
      <c r="G837" t="str">
        <f t="shared" si="40"/>
        <v>Non-Campaign</v>
      </c>
      <c r="H837">
        <v>1</v>
      </c>
      <c r="I837" s="4">
        <v>0</v>
      </c>
      <c r="J837">
        <v>69.2</v>
      </c>
      <c r="K837" s="6">
        <v>21.02</v>
      </c>
      <c r="L837" s="8">
        <f t="shared" si="41"/>
        <v>0.30375722543352601</v>
      </c>
    </row>
    <row r="838" spans="1:12" x14ac:dyDescent="0.2">
      <c r="A838" t="s">
        <v>1163</v>
      </c>
      <c r="B838" s="1" t="d">
        <v>2024-10-06</v>
      </c>
      <c r="C838" s="1" t="str">
        <f t="shared" si="39"/>
        <v>October 2024</v>
      </c>
      <c r="D838" t="s">
        <v>580</v>
      </c>
      <c r="E838" t="s">
        <v>44</v>
      </c>
      <c r="F838" t="s">
        <v>1337</v>
      </c>
      <c r="G838" t="str">
        <f t="shared" si="40"/>
        <v>Non-Campaign</v>
      </c>
      <c r="H838">
        <v>4</v>
      </c>
      <c r="I838" s="4">
        <v>0</v>
      </c>
      <c r="J838">
        <v>642.91999999999996</v>
      </c>
      <c r="K838" s="6">
        <v>224.08</v>
      </c>
      <c r="L838" s="8">
        <f t="shared" si="41"/>
        <v>0.34853480992969582</v>
      </c>
    </row>
    <row r="839" spans="1:12" x14ac:dyDescent="0.2">
      <c r="A839" t="s">
        <v>1164</v>
      </c>
      <c r="B839" s="1" t="d">
        <v>2024-09-13</v>
      </c>
      <c r="C839" s="1" t="str">
        <f t="shared" si="39"/>
        <v>September 2024</v>
      </c>
      <c r="D839" t="s">
        <v>705</v>
      </c>
      <c r="E839" t="s">
        <v>85</v>
      </c>
      <c r="F839" t="s">
        <v>12</v>
      </c>
      <c r="G839" t="str">
        <f t="shared" si="40"/>
        <v>Campaign</v>
      </c>
      <c r="H839">
        <v>4</v>
      </c>
      <c r="I839" s="4">
        <v>0</v>
      </c>
      <c r="J839">
        <v>588.55999999999995</v>
      </c>
      <c r="K839" s="6">
        <v>295.08</v>
      </c>
      <c r="L839" s="8">
        <f t="shared" si="41"/>
        <v>0.50135924969416878</v>
      </c>
    </row>
    <row r="840" spans="1:12" x14ac:dyDescent="0.2">
      <c r="A840" t="s">
        <v>1165</v>
      </c>
      <c r="B840" s="1" t="d">
        <v>2024-10-06</v>
      </c>
      <c r="C840" s="1" t="str">
        <f t="shared" si="39"/>
        <v>October 2024</v>
      </c>
      <c r="D840" t="s">
        <v>1166</v>
      </c>
      <c r="E840" t="s">
        <v>38</v>
      </c>
      <c r="F840" t="s">
        <v>12</v>
      </c>
      <c r="G840" t="str">
        <f t="shared" si="40"/>
        <v>Campaign</v>
      </c>
      <c r="H840">
        <v>3</v>
      </c>
      <c r="I840" s="4">
        <v>0.2</v>
      </c>
      <c r="J840">
        <v>1127.02</v>
      </c>
      <c r="K840" s="6">
        <v>198.34</v>
      </c>
      <c r="L840" s="8">
        <f t="shared" si="41"/>
        <v>0.17598622917073345</v>
      </c>
    </row>
    <row r="841" spans="1:12" x14ac:dyDescent="0.2">
      <c r="A841" t="s">
        <v>1167</v>
      </c>
      <c r="B841" s="1" t="d">
        <v>2025-02-11</v>
      </c>
      <c r="C841" s="1" t="str">
        <f t="shared" si="39"/>
        <v>February 2025</v>
      </c>
      <c r="D841" t="s">
        <v>930</v>
      </c>
      <c r="E841" t="s">
        <v>193</v>
      </c>
      <c r="F841" t="s">
        <v>1337</v>
      </c>
      <c r="G841" t="str">
        <f t="shared" si="40"/>
        <v>Non-Campaign</v>
      </c>
      <c r="H841">
        <v>5</v>
      </c>
      <c r="I841" s="4">
        <v>0.3</v>
      </c>
      <c r="J841">
        <v>1161.79</v>
      </c>
      <c r="K841" s="6">
        <v>136.13999999999999</v>
      </c>
      <c r="L841" s="8">
        <f t="shared" si="41"/>
        <v>0.1171812461804629</v>
      </c>
    </row>
    <row r="842" spans="1:12" x14ac:dyDescent="0.2">
      <c r="A842" t="s">
        <v>1168</v>
      </c>
      <c r="B842" s="1" t="d">
        <v>2024-10-18</v>
      </c>
      <c r="C842" s="1" t="str">
        <f t="shared" si="39"/>
        <v>October 2024</v>
      </c>
      <c r="D842" t="s">
        <v>674</v>
      </c>
      <c r="E842" t="s">
        <v>193</v>
      </c>
      <c r="F842" t="s">
        <v>12</v>
      </c>
      <c r="G842" t="str">
        <f t="shared" si="40"/>
        <v>Campaign</v>
      </c>
      <c r="H842">
        <v>4</v>
      </c>
      <c r="I842" s="4">
        <v>0.15</v>
      </c>
      <c r="J842">
        <v>1128.5999999999999</v>
      </c>
      <c r="K842" s="6">
        <v>308.08</v>
      </c>
      <c r="L842" s="8">
        <f t="shared" si="41"/>
        <v>0.27297536771220982</v>
      </c>
    </row>
    <row r="843" spans="1:12" x14ac:dyDescent="0.2">
      <c r="A843" t="s">
        <v>1169</v>
      </c>
      <c r="B843" s="1" t="d">
        <v>2025-04-02</v>
      </c>
      <c r="C843" s="1" t="str">
        <f t="shared" si="39"/>
        <v>April 2025</v>
      </c>
      <c r="D843" t="s">
        <v>983</v>
      </c>
      <c r="E843" t="s">
        <v>38</v>
      </c>
      <c r="F843" t="s">
        <v>20</v>
      </c>
      <c r="G843" t="str">
        <f t="shared" si="40"/>
        <v>Campaign</v>
      </c>
      <c r="H843">
        <v>2</v>
      </c>
      <c r="I843" s="4">
        <v>0.15</v>
      </c>
      <c r="J843">
        <v>798.3</v>
      </c>
      <c r="K843" s="6">
        <v>179.18</v>
      </c>
      <c r="L843" s="8">
        <f t="shared" si="41"/>
        <v>0.22445196041588378</v>
      </c>
    </row>
    <row r="844" spans="1:12" x14ac:dyDescent="0.2">
      <c r="A844" t="s">
        <v>1170</v>
      </c>
      <c r="B844" s="1" t="d">
        <v>2025-06-07</v>
      </c>
      <c r="C844" s="1" t="str">
        <f t="shared" si="39"/>
        <v>June 2025</v>
      </c>
      <c r="D844" t="s">
        <v>321</v>
      </c>
      <c r="E844" t="s">
        <v>119</v>
      </c>
      <c r="F844" t="s">
        <v>1337</v>
      </c>
      <c r="G844" t="str">
        <f t="shared" si="40"/>
        <v>Non-Campaign</v>
      </c>
      <c r="H844">
        <v>2</v>
      </c>
      <c r="I844" s="4">
        <v>0.05</v>
      </c>
      <c r="J844">
        <v>238.01</v>
      </c>
      <c r="K844" s="6">
        <v>37.83</v>
      </c>
      <c r="L844" s="8">
        <f t="shared" si="41"/>
        <v>0.15894290155875804</v>
      </c>
    </row>
    <row r="845" spans="1:12" x14ac:dyDescent="0.2">
      <c r="A845" t="s">
        <v>1171</v>
      </c>
      <c r="B845" s="1" t="d">
        <v>2024-10-18</v>
      </c>
      <c r="C845" s="1" t="str">
        <f t="shared" si="39"/>
        <v>October 2024</v>
      </c>
      <c r="D845" t="s">
        <v>150</v>
      </c>
      <c r="E845" t="s">
        <v>26</v>
      </c>
      <c r="F845" t="s">
        <v>1337</v>
      </c>
      <c r="G845" t="str">
        <f t="shared" si="40"/>
        <v>Non-Campaign</v>
      </c>
      <c r="H845">
        <v>5</v>
      </c>
      <c r="I845" s="4">
        <v>0.3</v>
      </c>
      <c r="J845">
        <v>778.82</v>
      </c>
      <c r="K845" s="6">
        <v>320.52</v>
      </c>
      <c r="L845" s="8">
        <f t="shared" si="41"/>
        <v>0.41154567165712225</v>
      </c>
    </row>
    <row r="846" spans="1:12" x14ac:dyDescent="0.2">
      <c r="A846" t="s">
        <v>1172</v>
      </c>
      <c r="B846" s="1" t="d">
        <v>2024-07-27</v>
      </c>
      <c r="C846" s="1" t="str">
        <f t="shared" si="39"/>
        <v>July 2024</v>
      </c>
      <c r="D846" t="s">
        <v>169</v>
      </c>
      <c r="E846" t="s">
        <v>50</v>
      </c>
      <c r="F846" t="s">
        <v>1337</v>
      </c>
      <c r="G846" t="str">
        <f t="shared" si="40"/>
        <v>Non-Campaign</v>
      </c>
      <c r="H846">
        <v>3</v>
      </c>
      <c r="I846" s="4">
        <v>0</v>
      </c>
      <c r="J846">
        <v>1109.94</v>
      </c>
      <c r="K846" s="6">
        <v>593.42999999999995</v>
      </c>
      <c r="L846" s="8">
        <f t="shared" si="41"/>
        <v>0.53465052164981886</v>
      </c>
    </row>
    <row r="847" spans="1:12" x14ac:dyDescent="0.2">
      <c r="A847" t="s">
        <v>1173</v>
      </c>
      <c r="B847" s="1" t="d">
        <v>2025-04-24</v>
      </c>
      <c r="C847" s="1" t="str">
        <f t="shared" si="39"/>
        <v>April 2025</v>
      </c>
      <c r="D847" t="s">
        <v>449</v>
      </c>
      <c r="E847" t="s">
        <v>38</v>
      </c>
      <c r="F847" t="s">
        <v>1337</v>
      </c>
      <c r="G847" t="str">
        <f t="shared" si="40"/>
        <v>Non-Campaign</v>
      </c>
      <c r="H847">
        <v>2</v>
      </c>
      <c r="I847" s="4">
        <v>0.05</v>
      </c>
      <c r="J847">
        <v>892.22</v>
      </c>
      <c r="K847" s="6">
        <v>273.10000000000002</v>
      </c>
      <c r="L847" s="8">
        <f t="shared" si="41"/>
        <v>0.30609042612808501</v>
      </c>
    </row>
    <row r="848" spans="1:12" x14ac:dyDescent="0.2">
      <c r="A848" t="s">
        <v>1174</v>
      </c>
      <c r="B848" s="1" t="d">
        <v>2024-08-23</v>
      </c>
      <c r="C848" s="1" t="str">
        <f t="shared" si="39"/>
        <v>August 2024</v>
      </c>
      <c r="D848" t="s">
        <v>808</v>
      </c>
      <c r="E848" t="s">
        <v>50</v>
      </c>
      <c r="F848" t="s">
        <v>30</v>
      </c>
      <c r="G848" t="str">
        <f t="shared" si="40"/>
        <v>Campaign</v>
      </c>
      <c r="H848">
        <v>4</v>
      </c>
      <c r="I848" s="4">
        <v>0.15</v>
      </c>
      <c r="J848">
        <v>1257.93</v>
      </c>
      <c r="K848" s="6">
        <v>569.25</v>
      </c>
      <c r="L848" s="8">
        <f t="shared" si="41"/>
        <v>0.45252915504042351</v>
      </c>
    </row>
    <row r="849" spans="1:12" x14ac:dyDescent="0.2">
      <c r="A849" t="s">
        <v>1175</v>
      </c>
      <c r="B849" s="1" t="d">
        <v>2024-09-14</v>
      </c>
      <c r="C849" s="1" t="str">
        <f t="shared" si="39"/>
        <v>September 2024</v>
      </c>
      <c r="D849" t="s">
        <v>419</v>
      </c>
      <c r="E849" t="s">
        <v>15</v>
      </c>
      <c r="F849" t="s">
        <v>30</v>
      </c>
      <c r="G849" t="str">
        <f t="shared" si="40"/>
        <v>Campaign</v>
      </c>
      <c r="H849">
        <v>2</v>
      </c>
      <c r="I849" s="4">
        <v>0</v>
      </c>
      <c r="J849">
        <v>813.58</v>
      </c>
      <c r="K849" s="6">
        <v>260.95999999999998</v>
      </c>
      <c r="L849" s="8">
        <f t="shared" si="41"/>
        <v>0.32075518080582116</v>
      </c>
    </row>
    <row r="850" spans="1:12" x14ac:dyDescent="0.2">
      <c r="A850" t="s">
        <v>1176</v>
      </c>
      <c r="B850" s="1" t="d">
        <v>2024-10-30</v>
      </c>
      <c r="C850" s="1" t="str">
        <f t="shared" si="39"/>
        <v>October 2024</v>
      </c>
      <c r="D850" t="s">
        <v>167</v>
      </c>
      <c r="E850" t="s">
        <v>47</v>
      </c>
      <c r="F850" t="s">
        <v>1337</v>
      </c>
      <c r="G850" t="str">
        <f t="shared" si="40"/>
        <v>Non-Campaign</v>
      </c>
      <c r="H850">
        <v>3</v>
      </c>
      <c r="I850" s="4">
        <v>0.3</v>
      </c>
      <c r="J850">
        <v>631.26</v>
      </c>
      <c r="K850" s="6">
        <v>-53.31</v>
      </c>
      <c r="L850" s="8">
        <f t="shared" si="41"/>
        <v>-8.445014732439883E-2</v>
      </c>
    </row>
    <row r="851" spans="1:12" x14ac:dyDescent="0.2">
      <c r="A851" t="s">
        <v>1177</v>
      </c>
      <c r="B851" s="1" t="d">
        <v>2024-12-02</v>
      </c>
      <c r="C851" s="1" t="str">
        <f t="shared" si="39"/>
        <v>December 2024</v>
      </c>
      <c r="D851" t="s">
        <v>983</v>
      </c>
      <c r="E851" t="s">
        <v>26</v>
      </c>
      <c r="F851" t="s">
        <v>20</v>
      </c>
      <c r="G851" t="str">
        <f t="shared" si="40"/>
        <v>Campaign</v>
      </c>
      <c r="H851">
        <v>4</v>
      </c>
      <c r="I851" s="4">
        <v>0.15</v>
      </c>
      <c r="J851">
        <v>756.57</v>
      </c>
      <c r="K851" s="6">
        <v>389.93</v>
      </c>
      <c r="L851" s="8">
        <f t="shared" si="41"/>
        <v>0.51539183419908263</v>
      </c>
    </row>
    <row r="852" spans="1:12" x14ac:dyDescent="0.2">
      <c r="A852" t="s">
        <v>1178</v>
      </c>
      <c r="B852" s="1" t="d">
        <v>2024-07-14</v>
      </c>
      <c r="C852" s="1" t="str">
        <f t="shared" si="39"/>
        <v>July 2024</v>
      </c>
      <c r="D852" t="s">
        <v>93</v>
      </c>
      <c r="E852" t="s">
        <v>44</v>
      </c>
      <c r="F852" t="s">
        <v>30</v>
      </c>
      <c r="G852" t="str">
        <f t="shared" si="40"/>
        <v>Campaign</v>
      </c>
      <c r="H852">
        <v>3</v>
      </c>
      <c r="I852" s="4">
        <v>0.1</v>
      </c>
      <c r="J852">
        <v>433.97</v>
      </c>
      <c r="K852" s="6">
        <v>119.84</v>
      </c>
      <c r="L852" s="8">
        <f t="shared" si="41"/>
        <v>0.2761481208378459</v>
      </c>
    </row>
    <row r="853" spans="1:12" x14ac:dyDescent="0.2">
      <c r="A853" t="s">
        <v>1179</v>
      </c>
      <c r="B853" s="1" t="d">
        <v>2025-03-19</v>
      </c>
      <c r="C853" s="1" t="str">
        <f t="shared" si="39"/>
        <v>March 2025</v>
      </c>
      <c r="D853" t="s">
        <v>869</v>
      </c>
      <c r="E853" t="s">
        <v>47</v>
      </c>
      <c r="F853" t="s">
        <v>109</v>
      </c>
      <c r="G853" t="str">
        <f t="shared" si="40"/>
        <v>Campaign</v>
      </c>
      <c r="H853">
        <v>2</v>
      </c>
      <c r="I853" s="4">
        <v>0.1</v>
      </c>
      <c r="J853">
        <v>541.08000000000004</v>
      </c>
      <c r="K853" s="6">
        <v>84.7</v>
      </c>
      <c r="L853" s="8">
        <f t="shared" si="41"/>
        <v>0.15653877430324536</v>
      </c>
    </row>
    <row r="854" spans="1:12" x14ac:dyDescent="0.2">
      <c r="A854" t="s">
        <v>1180</v>
      </c>
      <c r="B854" s="1" t="d">
        <v>2024-11-03</v>
      </c>
      <c r="C854" s="1" t="str">
        <f t="shared" si="39"/>
        <v>November 2024</v>
      </c>
      <c r="D854" t="s">
        <v>547</v>
      </c>
      <c r="E854" t="s">
        <v>75</v>
      </c>
      <c r="F854" t="s">
        <v>16</v>
      </c>
      <c r="G854" t="str">
        <f t="shared" si="40"/>
        <v>Campaign</v>
      </c>
      <c r="H854">
        <v>4</v>
      </c>
      <c r="I854" s="4">
        <v>0</v>
      </c>
      <c r="J854">
        <v>702.64</v>
      </c>
      <c r="K854" s="6">
        <v>205.64</v>
      </c>
      <c r="L854" s="8">
        <f t="shared" si="41"/>
        <v>0.29266765342138218</v>
      </c>
    </row>
    <row r="855" spans="1:12" x14ac:dyDescent="0.2">
      <c r="A855" t="s">
        <v>1181</v>
      </c>
      <c r="B855" s="1" t="d">
        <v>2025-05-30</v>
      </c>
      <c r="C855" s="1" t="str">
        <f t="shared" si="39"/>
        <v>May 2025</v>
      </c>
      <c r="D855" t="s">
        <v>241</v>
      </c>
      <c r="E855" t="s">
        <v>15</v>
      </c>
      <c r="F855" t="s">
        <v>1337</v>
      </c>
      <c r="G855" t="str">
        <f t="shared" si="40"/>
        <v>Non-Campaign</v>
      </c>
      <c r="H855">
        <v>2</v>
      </c>
      <c r="I855" s="4">
        <v>0.3</v>
      </c>
      <c r="J855">
        <v>569.51</v>
      </c>
      <c r="K855" s="6">
        <v>16.89</v>
      </c>
      <c r="L855" s="8">
        <f t="shared" si="41"/>
        <v>2.9657073624694913E-2</v>
      </c>
    </row>
    <row r="856" spans="1:12" x14ac:dyDescent="0.2">
      <c r="A856" t="s">
        <v>1182</v>
      </c>
      <c r="B856" s="1" t="d">
        <v>2025-05-21</v>
      </c>
      <c r="C856" s="1" t="str">
        <f t="shared" si="39"/>
        <v>May 2025</v>
      </c>
      <c r="D856" t="s">
        <v>483</v>
      </c>
      <c r="E856" t="s">
        <v>23</v>
      </c>
      <c r="F856" t="s">
        <v>12</v>
      </c>
      <c r="G856" t="str">
        <f t="shared" si="40"/>
        <v>Campaign</v>
      </c>
      <c r="H856">
        <v>2</v>
      </c>
      <c r="I856" s="4">
        <v>0.2</v>
      </c>
      <c r="J856">
        <v>420.11</v>
      </c>
      <c r="K856" s="6">
        <v>204.47</v>
      </c>
      <c r="L856" s="8">
        <f t="shared" si="41"/>
        <v>0.48670586275023209</v>
      </c>
    </row>
    <row r="857" spans="1:12" x14ac:dyDescent="0.2">
      <c r="A857" t="s">
        <v>1183</v>
      </c>
      <c r="B857" s="1" t="d">
        <v>2025-06-28</v>
      </c>
      <c r="C857" s="1" t="str">
        <f t="shared" si="39"/>
        <v>June 2025</v>
      </c>
      <c r="D857" t="s">
        <v>622</v>
      </c>
      <c r="E857" t="s">
        <v>65</v>
      </c>
      <c r="F857" t="s">
        <v>109</v>
      </c>
      <c r="G857" t="str">
        <f t="shared" si="40"/>
        <v>Campaign</v>
      </c>
      <c r="H857">
        <v>1</v>
      </c>
      <c r="I857" s="4">
        <v>0.1</v>
      </c>
      <c r="J857">
        <v>87.11</v>
      </c>
      <c r="K857" s="6">
        <v>22.05</v>
      </c>
      <c r="L857" s="8">
        <f t="shared" si="41"/>
        <v>0.25312822867638618</v>
      </c>
    </row>
    <row r="858" spans="1:12" x14ac:dyDescent="0.2">
      <c r="A858" t="s">
        <v>1184</v>
      </c>
      <c r="B858" s="1" t="d">
        <v>2025-03-18</v>
      </c>
      <c r="C858" s="1" t="str">
        <f t="shared" si="39"/>
        <v>March 2025</v>
      </c>
      <c r="D858" t="s">
        <v>1185</v>
      </c>
      <c r="E858" t="s">
        <v>80</v>
      </c>
      <c r="F858" t="s">
        <v>1337</v>
      </c>
      <c r="G858" t="str">
        <f t="shared" si="40"/>
        <v>Non-Campaign</v>
      </c>
      <c r="H858">
        <v>4</v>
      </c>
      <c r="I858" s="4">
        <v>0</v>
      </c>
      <c r="J858">
        <v>587.88</v>
      </c>
      <c r="K858" s="6">
        <v>342.52</v>
      </c>
      <c r="L858" s="8">
        <f t="shared" si="41"/>
        <v>0.58263591209090293</v>
      </c>
    </row>
    <row r="859" spans="1:12" x14ac:dyDescent="0.2">
      <c r="A859" t="s">
        <v>1186</v>
      </c>
      <c r="B859" s="1" t="d">
        <v>2024-07-24</v>
      </c>
      <c r="C859" s="1" t="str">
        <f t="shared" si="39"/>
        <v>July 2024</v>
      </c>
      <c r="D859" t="s">
        <v>634</v>
      </c>
      <c r="E859" t="s">
        <v>15</v>
      </c>
      <c r="F859" t="s">
        <v>30</v>
      </c>
      <c r="G859" t="str">
        <f t="shared" si="40"/>
        <v>Campaign</v>
      </c>
      <c r="H859">
        <v>2</v>
      </c>
      <c r="I859" s="4">
        <v>0.2</v>
      </c>
      <c r="J859">
        <v>650.86</v>
      </c>
      <c r="K859" s="6">
        <v>98.24</v>
      </c>
      <c r="L859" s="8">
        <f t="shared" si="41"/>
        <v>0.15093875795101863</v>
      </c>
    </row>
    <row r="860" spans="1:12" x14ac:dyDescent="0.2">
      <c r="A860" t="s">
        <v>1187</v>
      </c>
      <c r="B860" s="1" t="d">
        <v>2025-02-28</v>
      </c>
      <c r="C860" s="1" t="str">
        <f t="shared" si="39"/>
        <v>February 2025</v>
      </c>
      <c r="D860" t="s">
        <v>831</v>
      </c>
      <c r="E860" t="s">
        <v>47</v>
      </c>
      <c r="F860" t="s">
        <v>109</v>
      </c>
      <c r="G860" t="str">
        <f t="shared" si="40"/>
        <v>Campaign</v>
      </c>
      <c r="H860">
        <v>5</v>
      </c>
      <c r="I860" s="4">
        <v>0.15</v>
      </c>
      <c r="J860">
        <v>1277.55</v>
      </c>
      <c r="K860" s="6">
        <v>136.6</v>
      </c>
      <c r="L860" s="8">
        <f t="shared" si="41"/>
        <v>0.10692340808578921</v>
      </c>
    </row>
    <row r="861" spans="1:12" x14ac:dyDescent="0.2">
      <c r="A861" t="s">
        <v>1188</v>
      </c>
      <c r="B861" s="1" t="d">
        <v>2024-10-11</v>
      </c>
      <c r="C861" s="1" t="str">
        <f t="shared" si="39"/>
        <v>October 2024</v>
      </c>
      <c r="D861" t="s">
        <v>486</v>
      </c>
      <c r="E861" t="s">
        <v>53</v>
      </c>
      <c r="F861" t="s">
        <v>12</v>
      </c>
      <c r="G861" t="str">
        <f t="shared" si="40"/>
        <v>Campaign</v>
      </c>
      <c r="H861">
        <v>4</v>
      </c>
      <c r="I861" s="4">
        <v>0.2</v>
      </c>
      <c r="J861">
        <v>1070.75</v>
      </c>
      <c r="K861" s="6">
        <v>323.55</v>
      </c>
      <c r="L861" s="8">
        <f t="shared" si="41"/>
        <v>0.30217137520429604</v>
      </c>
    </row>
    <row r="862" spans="1:12" x14ac:dyDescent="0.2">
      <c r="A862" t="s">
        <v>1189</v>
      </c>
      <c r="B862" s="1" t="d">
        <v>2025-04-21</v>
      </c>
      <c r="C862" s="1" t="str">
        <f t="shared" si="39"/>
        <v>April 2025</v>
      </c>
      <c r="D862" t="s">
        <v>283</v>
      </c>
      <c r="E862" t="s">
        <v>58</v>
      </c>
      <c r="F862" t="s">
        <v>109</v>
      </c>
      <c r="G862" t="str">
        <f t="shared" si="40"/>
        <v>Campaign</v>
      </c>
      <c r="H862">
        <v>2</v>
      </c>
      <c r="I862" s="4">
        <v>0</v>
      </c>
      <c r="J862">
        <v>138.4</v>
      </c>
      <c r="K862" s="6">
        <v>42.04</v>
      </c>
      <c r="L862" s="8">
        <f t="shared" si="41"/>
        <v>0.30375722543352601</v>
      </c>
    </row>
    <row r="863" spans="1:12" x14ac:dyDescent="0.2">
      <c r="A863" t="s">
        <v>1190</v>
      </c>
      <c r="B863" s="1" t="d">
        <v>2025-02-23</v>
      </c>
      <c r="C863" s="1" t="str">
        <f t="shared" si="39"/>
        <v>February 2025</v>
      </c>
      <c r="D863" t="s">
        <v>553</v>
      </c>
      <c r="E863" t="s">
        <v>15</v>
      </c>
      <c r="F863" t="s">
        <v>109</v>
      </c>
      <c r="G863" t="str">
        <f t="shared" si="40"/>
        <v>Campaign</v>
      </c>
      <c r="H863">
        <v>1</v>
      </c>
      <c r="I863" s="4">
        <v>0.15</v>
      </c>
      <c r="J863">
        <v>345.77</v>
      </c>
      <c r="K863" s="6">
        <v>69.459999999999994</v>
      </c>
      <c r="L863" s="8">
        <f t="shared" si="41"/>
        <v>0.20088498134598143</v>
      </c>
    </row>
    <row r="864" spans="1:12" x14ac:dyDescent="0.2">
      <c r="A864" t="s">
        <v>1191</v>
      </c>
      <c r="B864" s="1" t="d">
        <v>2024-07-24</v>
      </c>
      <c r="C864" s="1" t="str">
        <f t="shared" si="39"/>
        <v>July 2024</v>
      </c>
      <c r="D864" t="s">
        <v>183</v>
      </c>
      <c r="E864" t="s">
        <v>26</v>
      </c>
      <c r="F864" t="s">
        <v>1337</v>
      </c>
      <c r="G864" t="str">
        <f t="shared" si="40"/>
        <v>Non-Campaign</v>
      </c>
      <c r="H864">
        <v>3</v>
      </c>
      <c r="I864" s="4">
        <v>0.3</v>
      </c>
      <c r="J864">
        <v>467.29</v>
      </c>
      <c r="K864" s="6">
        <v>192.31</v>
      </c>
      <c r="L864" s="8">
        <f t="shared" si="41"/>
        <v>0.41154315307410816</v>
      </c>
    </row>
    <row r="865" spans="1:12" x14ac:dyDescent="0.2">
      <c r="A865" t="s">
        <v>1192</v>
      </c>
      <c r="B865" s="1" t="d">
        <v>2025-02-14</v>
      </c>
      <c r="C865" s="1" t="str">
        <f t="shared" si="39"/>
        <v>February 2025</v>
      </c>
      <c r="D865" t="s">
        <v>273</v>
      </c>
      <c r="E865" t="s">
        <v>65</v>
      </c>
      <c r="F865" t="s">
        <v>20</v>
      </c>
      <c r="G865" t="str">
        <f t="shared" si="40"/>
        <v>Campaign</v>
      </c>
      <c r="H865">
        <v>1</v>
      </c>
      <c r="I865" s="4">
        <v>0.1</v>
      </c>
      <c r="J865">
        <v>87.11</v>
      </c>
      <c r="K865" s="6">
        <v>22.05</v>
      </c>
      <c r="L865" s="8">
        <f t="shared" si="41"/>
        <v>0.25312822867638618</v>
      </c>
    </row>
    <row r="866" spans="1:12" x14ac:dyDescent="0.2">
      <c r="A866" t="s">
        <v>1193</v>
      </c>
      <c r="B866" s="1" t="d">
        <v>2025-03-22</v>
      </c>
      <c r="C866" s="1" t="str">
        <f t="shared" si="39"/>
        <v>March 2025</v>
      </c>
      <c r="D866" t="s">
        <v>898</v>
      </c>
      <c r="E866" t="s">
        <v>103</v>
      </c>
      <c r="F866" t="s">
        <v>1337</v>
      </c>
      <c r="G866" t="str">
        <f t="shared" si="40"/>
        <v>Non-Campaign</v>
      </c>
      <c r="H866">
        <v>5</v>
      </c>
      <c r="I866" s="4">
        <v>0.3</v>
      </c>
      <c r="J866">
        <v>331.2</v>
      </c>
      <c r="K866" s="6">
        <v>-39.200000000000003</v>
      </c>
      <c r="L866" s="8">
        <f t="shared" si="41"/>
        <v>-0.11835748792270533</v>
      </c>
    </row>
    <row r="867" spans="1:12" x14ac:dyDescent="0.2">
      <c r="A867" t="s">
        <v>1194</v>
      </c>
      <c r="B867" s="1" t="d">
        <v>2025-06-23</v>
      </c>
      <c r="C867" s="1" t="str">
        <f t="shared" si="39"/>
        <v>June 2025</v>
      </c>
      <c r="D867" t="s">
        <v>925</v>
      </c>
      <c r="E867" t="s">
        <v>135</v>
      </c>
      <c r="F867" t="s">
        <v>1337</v>
      </c>
      <c r="G867" t="str">
        <f t="shared" si="40"/>
        <v>Non-Campaign</v>
      </c>
      <c r="H867">
        <v>4</v>
      </c>
      <c r="I867" s="4">
        <v>0.2</v>
      </c>
      <c r="J867">
        <v>650.17999999999995</v>
      </c>
      <c r="K867" s="6">
        <v>1.26</v>
      </c>
      <c r="L867" s="8">
        <f t="shared" si="41"/>
        <v>1.9379248823402752E-3</v>
      </c>
    </row>
    <row r="868" spans="1:12" x14ac:dyDescent="0.2">
      <c r="A868" t="s">
        <v>1195</v>
      </c>
      <c r="B868" s="1" t="d">
        <v>2025-05-30</v>
      </c>
      <c r="C868" s="1" t="str">
        <f t="shared" si="39"/>
        <v>May 2025</v>
      </c>
      <c r="D868" t="s">
        <v>206</v>
      </c>
      <c r="E868" t="s">
        <v>26</v>
      </c>
      <c r="F868" t="s">
        <v>16</v>
      </c>
      <c r="G868" t="str">
        <f t="shared" si="40"/>
        <v>Campaign</v>
      </c>
      <c r="H868">
        <v>2</v>
      </c>
      <c r="I868" s="4">
        <v>0.2</v>
      </c>
      <c r="J868">
        <v>356.03</v>
      </c>
      <c r="K868" s="6">
        <v>172.71</v>
      </c>
      <c r="L868" s="8">
        <f t="shared" si="41"/>
        <v>0.48509957026093314</v>
      </c>
    </row>
    <row r="869" spans="1:12" x14ac:dyDescent="0.2">
      <c r="A869" t="s">
        <v>1196</v>
      </c>
      <c r="B869" s="1" t="d">
        <v>2024-11-07</v>
      </c>
      <c r="C869" s="1" t="str">
        <f t="shared" si="39"/>
        <v>November 2024</v>
      </c>
      <c r="D869" t="s">
        <v>25</v>
      </c>
      <c r="E869" t="s">
        <v>50</v>
      </c>
      <c r="F869" t="s">
        <v>12</v>
      </c>
      <c r="G869" t="str">
        <f t="shared" si="40"/>
        <v>Campaign</v>
      </c>
      <c r="H869">
        <v>1</v>
      </c>
      <c r="I869" s="4">
        <v>0.05</v>
      </c>
      <c r="J869">
        <v>351.48</v>
      </c>
      <c r="K869" s="6">
        <v>179.31</v>
      </c>
      <c r="L869" s="8">
        <f t="shared" si="41"/>
        <v>0.51015705018777735</v>
      </c>
    </row>
    <row r="870" spans="1:12" x14ac:dyDescent="0.2">
      <c r="A870" t="s">
        <v>1197</v>
      </c>
      <c r="B870" s="1" t="d">
        <v>2024-07-21</v>
      </c>
      <c r="C870" s="1" t="str">
        <f t="shared" si="39"/>
        <v>July 2024</v>
      </c>
      <c r="D870" t="s">
        <v>100</v>
      </c>
      <c r="E870" t="s">
        <v>80</v>
      </c>
      <c r="F870" t="s">
        <v>1337</v>
      </c>
      <c r="G870" t="str">
        <f t="shared" si="40"/>
        <v>Non-Campaign</v>
      </c>
      <c r="H870">
        <v>4</v>
      </c>
      <c r="I870" s="4">
        <v>0.15</v>
      </c>
      <c r="J870">
        <v>499.7</v>
      </c>
      <c r="K870" s="6">
        <v>254.34</v>
      </c>
      <c r="L870" s="8">
        <f t="shared" si="41"/>
        <v>0.50898539123474085</v>
      </c>
    </row>
    <row r="871" spans="1:12" x14ac:dyDescent="0.2">
      <c r="A871" t="s">
        <v>1198</v>
      </c>
      <c r="B871" s="1" t="d">
        <v>2024-09-23</v>
      </c>
      <c r="C871" s="1" t="str">
        <f t="shared" si="39"/>
        <v>September 2024</v>
      </c>
      <c r="D871" t="s">
        <v>245</v>
      </c>
      <c r="E871" t="s">
        <v>29</v>
      </c>
      <c r="F871" t="s">
        <v>1337</v>
      </c>
      <c r="G871" t="str">
        <f t="shared" si="40"/>
        <v>Non-Campaign</v>
      </c>
      <c r="H871">
        <v>3</v>
      </c>
      <c r="I871" s="4">
        <v>0.1</v>
      </c>
      <c r="J871">
        <v>1015.04</v>
      </c>
      <c r="K871" s="6">
        <v>453.44</v>
      </c>
      <c r="L871" s="8">
        <f t="shared" si="41"/>
        <v>0.44672131147540983</v>
      </c>
    </row>
    <row r="872" spans="1:12" x14ac:dyDescent="0.2">
      <c r="A872" t="s">
        <v>1199</v>
      </c>
      <c r="B872" s="1" t="d">
        <v>2024-12-14</v>
      </c>
      <c r="C872" s="1" t="str">
        <f t="shared" si="39"/>
        <v>December 2024</v>
      </c>
      <c r="D872" t="s">
        <v>22</v>
      </c>
      <c r="E872" t="s">
        <v>103</v>
      </c>
      <c r="F872" t="s">
        <v>109</v>
      </c>
      <c r="G872" t="str">
        <f t="shared" si="40"/>
        <v>Campaign</v>
      </c>
      <c r="H872">
        <v>1</v>
      </c>
      <c r="I872" s="4">
        <v>0.3</v>
      </c>
      <c r="J872">
        <v>66.239999999999995</v>
      </c>
      <c r="K872" s="6">
        <v>-7.84</v>
      </c>
      <c r="L872" s="8">
        <f t="shared" si="41"/>
        <v>-0.11835748792270533</v>
      </c>
    </row>
    <row r="873" spans="1:12" x14ac:dyDescent="0.2">
      <c r="A873" t="s">
        <v>1200</v>
      </c>
      <c r="B873" s="1" t="d">
        <v>2024-07-03</v>
      </c>
      <c r="C873" s="1" t="str">
        <f t="shared" si="39"/>
        <v>July 2024</v>
      </c>
      <c r="D873" t="s">
        <v>14</v>
      </c>
      <c r="E873" t="s">
        <v>135</v>
      </c>
      <c r="F873" t="s">
        <v>1337</v>
      </c>
      <c r="G873" t="str">
        <f t="shared" si="40"/>
        <v>Non-Campaign</v>
      </c>
      <c r="H873">
        <v>1</v>
      </c>
      <c r="I873" s="4">
        <v>0.2</v>
      </c>
      <c r="J873">
        <v>162.54</v>
      </c>
      <c r="K873" s="6">
        <v>0.31</v>
      </c>
      <c r="L873" s="8">
        <f t="shared" si="41"/>
        <v>1.9072228374553957E-3</v>
      </c>
    </row>
    <row r="874" spans="1:12" x14ac:dyDescent="0.2">
      <c r="A874" t="s">
        <v>1201</v>
      </c>
      <c r="B874" s="1" t="d">
        <v>2025-01-19</v>
      </c>
      <c r="C874" s="1" t="str">
        <f t="shared" si="39"/>
        <v>January 2025</v>
      </c>
      <c r="D874" t="s">
        <v>388</v>
      </c>
      <c r="E874" t="s">
        <v>103</v>
      </c>
      <c r="F874" t="s">
        <v>16</v>
      </c>
      <c r="G874" t="str">
        <f t="shared" si="40"/>
        <v>Campaign</v>
      </c>
      <c r="H874">
        <v>3</v>
      </c>
      <c r="I874" s="4">
        <v>0.15</v>
      </c>
      <c r="J874">
        <v>241.31</v>
      </c>
      <c r="K874" s="6">
        <v>19.07</v>
      </c>
      <c r="L874" s="8">
        <f t="shared" si="41"/>
        <v>7.9026977746467206E-2</v>
      </c>
    </row>
    <row r="875" spans="1:12" x14ac:dyDescent="0.2">
      <c r="A875" t="s">
        <v>1202</v>
      </c>
      <c r="B875" s="1" t="d">
        <v>2024-08-01</v>
      </c>
      <c r="C875" s="1" t="str">
        <f t="shared" si="39"/>
        <v>August 2024</v>
      </c>
      <c r="D875" t="s">
        <v>198</v>
      </c>
      <c r="E875" t="s">
        <v>26</v>
      </c>
      <c r="F875" t="s">
        <v>1337</v>
      </c>
      <c r="G875" t="str">
        <f t="shared" si="40"/>
        <v>Non-Campaign</v>
      </c>
      <c r="H875">
        <v>5</v>
      </c>
      <c r="I875" s="4">
        <v>0.3</v>
      </c>
      <c r="J875">
        <v>778.82</v>
      </c>
      <c r="K875" s="6">
        <v>320.52</v>
      </c>
      <c r="L875" s="8">
        <f t="shared" si="41"/>
        <v>0.41154567165712225</v>
      </c>
    </row>
    <row r="876" spans="1:12" x14ac:dyDescent="0.2">
      <c r="A876" t="s">
        <v>1203</v>
      </c>
      <c r="B876" s="1" t="d">
        <v>2024-12-26</v>
      </c>
      <c r="C876" s="1" t="str">
        <f t="shared" si="39"/>
        <v>December 2024</v>
      </c>
      <c r="D876" t="s">
        <v>705</v>
      </c>
      <c r="E876" t="s">
        <v>19</v>
      </c>
      <c r="F876" t="s">
        <v>30</v>
      </c>
      <c r="G876" t="str">
        <f t="shared" si="40"/>
        <v>Campaign</v>
      </c>
      <c r="H876">
        <v>5</v>
      </c>
      <c r="I876" s="4">
        <v>0.05</v>
      </c>
      <c r="J876">
        <v>754.82</v>
      </c>
      <c r="K876" s="6">
        <v>411.62</v>
      </c>
      <c r="L876" s="8">
        <f t="shared" si="41"/>
        <v>0.54532206353832702</v>
      </c>
    </row>
    <row r="877" spans="1:12" x14ac:dyDescent="0.2">
      <c r="A877" t="s">
        <v>1204</v>
      </c>
      <c r="B877" s="1" t="d">
        <v>2025-03-06</v>
      </c>
      <c r="C877" s="1" t="str">
        <f t="shared" si="39"/>
        <v>March 2025</v>
      </c>
      <c r="D877" t="s">
        <v>82</v>
      </c>
      <c r="E877" t="s">
        <v>80</v>
      </c>
      <c r="F877" t="s">
        <v>1337</v>
      </c>
      <c r="G877" t="str">
        <f t="shared" si="40"/>
        <v>Non-Campaign</v>
      </c>
      <c r="H877">
        <v>4</v>
      </c>
      <c r="I877" s="4">
        <v>0.2</v>
      </c>
      <c r="J877">
        <v>470.3</v>
      </c>
      <c r="K877" s="6">
        <v>224.94</v>
      </c>
      <c r="L877" s="8">
        <f t="shared" si="41"/>
        <v>0.47829045290240269</v>
      </c>
    </row>
    <row r="878" spans="1:12" x14ac:dyDescent="0.2">
      <c r="A878" t="s">
        <v>1205</v>
      </c>
      <c r="B878" s="1" t="d">
        <v>2025-03-01</v>
      </c>
      <c r="C878" s="1" t="str">
        <f t="shared" si="39"/>
        <v>March 2025</v>
      </c>
      <c r="D878" t="s">
        <v>292</v>
      </c>
      <c r="E878" t="s">
        <v>15</v>
      </c>
      <c r="F878" t="s">
        <v>16</v>
      </c>
      <c r="G878" t="str">
        <f t="shared" si="40"/>
        <v>Campaign</v>
      </c>
      <c r="H878">
        <v>5</v>
      </c>
      <c r="I878" s="4">
        <v>0.2</v>
      </c>
      <c r="J878">
        <v>1627.16</v>
      </c>
      <c r="K878" s="6">
        <v>245.61</v>
      </c>
      <c r="L878" s="8">
        <f t="shared" si="41"/>
        <v>0.15094397600727649</v>
      </c>
    </row>
    <row r="879" spans="1:12" x14ac:dyDescent="0.2">
      <c r="A879" t="s">
        <v>1206</v>
      </c>
      <c r="B879" s="1" t="d">
        <v>2025-02-24</v>
      </c>
      <c r="C879" s="1" t="str">
        <f t="shared" si="39"/>
        <v>February 2025</v>
      </c>
      <c r="D879" t="s">
        <v>57</v>
      </c>
      <c r="E879" t="s">
        <v>65</v>
      </c>
      <c r="F879" t="s">
        <v>16</v>
      </c>
      <c r="G879" t="str">
        <f t="shared" si="40"/>
        <v>Campaign</v>
      </c>
      <c r="H879">
        <v>3</v>
      </c>
      <c r="I879" s="4">
        <v>0.3</v>
      </c>
      <c r="J879">
        <v>203.26</v>
      </c>
      <c r="K879" s="6">
        <v>8.08</v>
      </c>
      <c r="L879" s="8">
        <f t="shared" si="41"/>
        <v>3.9752041719964583E-2</v>
      </c>
    </row>
    <row r="880" spans="1:12" x14ac:dyDescent="0.2">
      <c r="A880" t="s">
        <v>1207</v>
      </c>
      <c r="B880" s="1" t="d">
        <v>2025-04-05</v>
      </c>
      <c r="C880" s="1" t="str">
        <f t="shared" si="39"/>
        <v>April 2025</v>
      </c>
      <c r="D880" t="s">
        <v>829</v>
      </c>
      <c r="E880" t="s">
        <v>138</v>
      </c>
      <c r="F880" t="s">
        <v>16</v>
      </c>
      <c r="G880" t="str">
        <f t="shared" si="40"/>
        <v>Campaign</v>
      </c>
      <c r="H880">
        <v>4</v>
      </c>
      <c r="I880" s="4">
        <v>0.05</v>
      </c>
      <c r="J880">
        <v>1646.05</v>
      </c>
      <c r="K880" s="6">
        <v>945.01</v>
      </c>
      <c r="L880" s="8">
        <f t="shared" si="41"/>
        <v>0.57410771240241787</v>
      </c>
    </row>
    <row r="881" spans="1:12" x14ac:dyDescent="0.2">
      <c r="A881" t="s">
        <v>1208</v>
      </c>
      <c r="B881" s="1" t="d">
        <v>2024-09-01</v>
      </c>
      <c r="C881" s="1" t="str">
        <f t="shared" si="39"/>
        <v>September 2024</v>
      </c>
      <c r="D881" t="s">
        <v>930</v>
      </c>
      <c r="E881" t="s">
        <v>138</v>
      </c>
      <c r="F881" t="s">
        <v>16</v>
      </c>
      <c r="G881" t="str">
        <f t="shared" si="40"/>
        <v>Campaign</v>
      </c>
      <c r="H881">
        <v>3</v>
      </c>
      <c r="I881" s="4">
        <v>0</v>
      </c>
      <c r="J881">
        <v>1299.51</v>
      </c>
      <c r="K881" s="6">
        <v>773.73</v>
      </c>
      <c r="L881" s="8">
        <f t="shared" si="41"/>
        <v>0.59540134358335062</v>
      </c>
    </row>
    <row r="882" spans="1:12" x14ac:dyDescent="0.2">
      <c r="A882" t="s">
        <v>1209</v>
      </c>
      <c r="B882" s="1" t="d">
        <v>2025-03-30</v>
      </c>
      <c r="C882" s="1" t="str">
        <f t="shared" si="39"/>
        <v>March 2025</v>
      </c>
      <c r="D882" t="s">
        <v>834</v>
      </c>
      <c r="E882" t="s">
        <v>50</v>
      </c>
      <c r="F882" t="s">
        <v>20</v>
      </c>
      <c r="G882" t="str">
        <f t="shared" si="40"/>
        <v>Campaign</v>
      </c>
      <c r="H882">
        <v>2</v>
      </c>
      <c r="I882" s="4">
        <v>0.1</v>
      </c>
      <c r="J882">
        <v>665.96</v>
      </c>
      <c r="K882" s="6">
        <v>321.62</v>
      </c>
      <c r="L882" s="8">
        <f t="shared" si="41"/>
        <v>0.48294191843353951</v>
      </c>
    </row>
    <row r="883" spans="1:12" x14ac:dyDescent="0.2">
      <c r="A883" t="s">
        <v>1210</v>
      </c>
      <c r="B883" s="1" t="d">
        <v>2024-08-29</v>
      </c>
      <c r="C883" s="1" t="str">
        <f t="shared" si="39"/>
        <v>August 2024</v>
      </c>
      <c r="D883" t="s">
        <v>232</v>
      </c>
      <c r="E883" t="s">
        <v>85</v>
      </c>
      <c r="F883" t="s">
        <v>12</v>
      </c>
      <c r="G883" t="str">
        <f t="shared" si="40"/>
        <v>Campaign</v>
      </c>
      <c r="H883">
        <v>3</v>
      </c>
      <c r="I883" s="4">
        <v>0.15</v>
      </c>
      <c r="J883">
        <v>375.21</v>
      </c>
      <c r="K883" s="6">
        <v>155.1</v>
      </c>
      <c r="L883" s="8">
        <f t="shared" si="41"/>
        <v>0.41336851363236587</v>
      </c>
    </row>
    <row r="884" spans="1:12" x14ac:dyDescent="0.2">
      <c r="A884" t="s">
        <v>1211</v>
      </c>
      <c r="B884" s="1" t="d">
        <v>2024-08-14</v>
      </c>
      <c r="C884" s="1" t="str">
        <f t="shared" si="39"/>
        <v>August 2024</v>
      </c>
      <c r="D884" t="s">
        <v>720</v>
      </c>
      <c r="E884" t="s">
        <v>80</v>
      </c>
      <c r="F884" t="s">
        <v>1337</v>
      </c>
      <c r="G884" t="str">
        <f t="shared" si="40"/>
        <v>Non-Campaign</v>
      </c>
      <c r="H884">
        <v>3</v>
      </c>
      <c r="I884" s="4">
        <v>0.05</v>
      </c>
      <c r="J884">
        <v>418.86</v>
      </c>
      <c r="K884" s="6">
        <v>234.84</v>
      </c>
      <c r="L884" s="8">
        <f t="shared" si="41"/>
        <v>0.56066466122332048</v>
      </c>
    </row>
    <row r="885" spans="1:12" x14ac:dyDescent="0.2">
      <c r="A885" t="s">
        <v>1212</v>
      </c>
      <c r="B885" s="1" t="d">
        <v>2025-01-13</v>
      </c>
      <c r="C885" s="1" t="str">
        <f t="shared" si="39"/>
        <v>January 2025</v>
      </c>
      <c r="D885" t="s">
        <v>1083</v>
      </c>
      <c r="E885" t="s">
        <v>23</v>
      </c>
      <c r="F885" t="s">
        <v>16</v>
      </c>
      <c r="G885" t="str">
        <f t="shared" si="40"/>
        <v>Campaign</v>
      </c>
      <c r="H885">
        <v>2</v>
      </c>
      <c r="I885" s="4">
        <v>0</v>
      </c>
      <c r="J885">
        <v>525.14</v>
      </c>
      <c r="K885" s="6">
        <v>309.5</v>
      </c>
      <c r="L885" s="8">
        <f t="shared" si="41"/>
        <v>0.58936664508512016</v>
      </c>
    </row>
    <row r="886" spans="1:12" x14ac:dyDescent="0.2">
      <c r="A886" t="s">
        <v>1213</v>
      </c>
      <c r="B886" s="1" t="d">
        <v>2024-09-08</v>
      </c>
      <c r="C886" s="1" t="str">
        <f t="shared" si="39"/>
        <v>September 2024</v>
      </c>
      <c r="D886" t="s">
        <v>167</v>
      </c>
      <c r="E886" t="s">
        <v>75</v>
      </c>
      <c r="F886" t="s">
        <v>30</v>
      </c>
      <c r="G886" t="str">
        <f t="shared" si="40"/>
        <v>Campaign</v>
      </c>
      <c r="H886">
        <v>5</v>
      </c>
      <c r="I886" s="4">
        <v>0.05</v>
      </c>
      <c r="J886">
        <v>834.38</v>
      </c>
      <c r="K886" s="6">
        <v>213.13</v>
      </c>
      <c r="L886" s="8">
        <f t="shared" si="41"/>
        <v>0.25543517342218175</v>
      </c>
    </row>
    <row r="887" spans="1:12" x14ac:dyDescent="0.2">
      <c r="A887" t="s">
        <v>1214</v>
      </c>
      <c r="B887" s="1" t="d">
        <v>2024-08-08</v>
      </c>
      <c r="C887" s="1" t="str">
        <f t="shared" si="39"/>
        <v>August 2024</v>
      </c>
      <c r="D887" t="s">
        <v>365</v>
      </c>
      <c r="E887" t="s">
        <v>96</v>
      </c>
      <c r="F887" t="s">
        <v>12</v>
      </c>
      <c r="G887" t="str">
        <f t="shared" si="40"/>
        <v>Campaign</v>
      </c>
      <c r="H887">
        <v>3</v>
      </c>
      <c r="I887" s="4">
        <v>0</v>
      </c>
      <c r="J887">
        <v>155.31</v>
      </c>
      <c r="K887" s="6">
        <v>36.450000000000003</v>
      </c>
      <c r="L887" s="8">
        <f t="shared" si="41"/>
        <v>0.23469190650956154</v>
      </c>
    </row>
    <row r="888" spans="1:12" x14ac:dyDescent="0.2">
      <c r="A888" t="s">
        <v>1215</v>
      </c>
      <c r="B888" s="1" t="d">
        <v>2025-04-27</v>
      </c>
      <c r="C888" s="1" t="str">
        <f t="shared" si="39"/>
        <v>April 2025</v>
      </c>
      <c r="D888" t="s">
        <v>221</v>
      </c>
      <c r="E888" t="s">
        <v>193</v>
      </c>
      <c r="F888" t="s">
        <v>1337</v>
      </c>
      <c r="G888" t="str">
        <f t="shared" si="40"/>
        <v>Non-Campaign</v>
      </c>
      <c r="H888">
        <v>3</v>
      </c>
      <c r="I888" s="4">
        <v>0.05</v>
      </c>
      <c r="J888">
        <v>946.03</v>
      </c>
      <c r="K888" s="6">
        <v>330.64</v>
      </c>
      <c r="L888" s="8">
        <f t="shared" si="41"/>
        <v>0.34950265847806095</v>
      </c>
    </row>
    <row r="889" spans="1:12" x14ac:dyDescent="0.2">
      <c r="A889" t="s">
        <v>1216</v>
      </c>
      <c r="B889" s="1" t="d">
        <v>2025-01-27</v>
      </c>
      <c r="C889" s="1" t="str">
        <f t="shared" si="39"/>
        <v>January 2025</v>
      </c>
      <c r="D889" t="s">
        <v>651</v>
      </c>
      <c r="E889" t="s">
        <v>106</v>
      </c>
      <c r="F889" t="s">
        <v>1337</v>
      </c>
      <c r="G889" t="str">
        <f t="shared" si="40"/>
        <v>Non-Campaign</v>
      </c>
      <c r="H889">
        <v>2</v>
      </c>
      <c r="I889" s="4">
        <v>0.05</v>
      </c>
      <c r="J889">
        <v>375.61</v>
      </c>
      <c r="K889" s="6">
        <v>184.33</v>
      </c>
      <c r="L889" s="8">
        <f t="shared" si="41"/>
        <v>0.49074838263092041</v>
      </c>
    </row>
    <row r="890" spans="1:12" x14ac:dyDescent="0.2">
      <c r="A890" t="s">
        <v>1217</v>
      </c>
      <c r="B890" s="1" t="d">
        <v>2025-04-11</v>
      </c>
      <c r="C890" s="1" t="str">
        <f t="shared" si="39"/>
        <v>April 2025</v>
      </c>
      <c r="D890" t="s">
        <v>263</v>
      </c>
      <c r="E890" t="s">
        <v>103</v>
      </c>
      <c r="F890" t="s">
        <v>12</v>
      </c>
      <c r="G890" t="str">
        <f t="shared" si="40"/>
        <v>Campaign</v>
      </c>
      <c r="H890">
        <v>4</v>
      </c>
      <c r="I890" s="4">
        <v>0</v>
      </c>
      <c r="J890">
        <v>378.52</v>
      </c>
      <c r="K890" s="6">
        <v>82.2</v>
      </c>
      <c r="L890" s="8">
        <f t="shared" si="41"/>
        <v>0.21716157666701894</v>
      </c>
    </row>
    <row r="891" spans="1:12" x14ac:dyDescent="0.2">
      <c r="A891" t="s">
        <v>1218</v>
      </c>
      <c r="B891" s="1" t="d">
        <v>2024-07-11</v>
      </c>
      <c r="C891" s="1" t="str">
        <f t="shared" si="39"/>
        <v>July 2024</v>
      </c>
      <c r="D891" t="s">
        <v>1219</v>
      </c>
      <c r="E891" t="s">
        <v>19</v>
      </c>
      <c r="F891" t="s">
        <v>30</v>
      </c>
      <c r="G891" t="str">
        <f t="shared" si="40"/>
        <v>Campaign</v>
      </c>
      <c r="H891">
        <v>2</v>
      </c>
      <c r="I891" s="4">
        <v>0.05</v>
      </c>
      <c r="J891">
        <v>301.93</v>
      </c>
      <c r="K891" s="6">
        <v>164.65</v>
      </c>
      <c r="L891" s="8">
        <f t="shared" si="41"/>
        <v>0.54532507534859076</v>
      </c>
    </row>
    <row r="892" spans="1:12" x14ac:dyDescent="0.2">
      <c r="A892" t="s">
        <v>1220</v>
      </c>
      <c r="B892" s="1" t="d">
        <v>2024-11-29</v>
      </c>
      <c r="C892" s="1" t="str">
        <f t="shared" si="39"/>
        <v>November 2024</v>
      </c>
      <c r="D892" t="s">
        <v>116</v>
      </c>
      <c r="E892" t="s">
        <v>35</v>
      </c>
      <c r="F892" t="s">
        <v>1337</v>
      </c>
      <c r="G892" t="str">
        <f t="shared" si="40"/>
        <v>Non-Campaign</v>
      </c>
      <c r="H892">
        <v>5</v>
      </c>
      <c r="I892" s="4">
        <v>0.15</v>
      </c>
      <c r="J892">
        <v>1287.1099999999999</v>
      </c>
      <c r="K892" s="6">
        <v>191.16</v>
      </c>
      <c r="L892" s="8">
        <f t="shared" si="41"/>
        <v>0.14851877461910792</v>
      </c>
    </row>
    <row r="893" spans="1:12" x14ac:dyDescent="0.2">
      <c r="A893" t="s">
        <v>1221</v>
      </c>
      <c r="B893" s="1" t="d">
        <v>2025-03-13</v>
      </c>
      <c r="C893" s="1" t="str">
        <f t="shared" si="39"/>
        <v>March 2025</v>
      </c>
      <c r="D893" t="s">
        <v>416</v>
      </c>
      <c r="E893" t="s">
        <v>65</v>
      </c>
      <c r="F893" t="s">
        <v>1337</v>
      </c>
      <c r="G893" t="str">
        <f t="shared" si="40"/>
        <v>Non-Campaign</v>
      </c>
      <c r="H893">
        <v>2</v>
      </c>
      <c r="I893" s="4">
        <v>0.15</v>
      </c>
      <c r="J893">
        <v>164.54</v>
      </c>
      <c r="K893" s="6">
        <v>34.42</v>
      </c>
      <c r="L893" s="8">
        <f t="shared" si="41"/>
        <v>0.2091892548924274</v>
      </c>
    </row>
    <row r="894" spans="1:12" x14ac:dyDescent="0.2">
      <c r="A894" t="s">
        <v>1222</v>
      </c>
      <c r="B894" s="1" t="d">
        <v>2025-02-10</v>
      </c>
      <c r="C894" s="1" t="str">
        <f t="shared" si="39"/>
        <v>February 2025</v>
      </c>
      <c r="D894" t="s">
        <v>89</v>
      </c>
      <c r="E894" t="s">
        <v>47</v>
      </c>
      <c r="F894" t="s">
        <v>12</v>
      </c>
      <c r="G894" t="str">
        <f t="shared" si="40"/>
        <v>Campaign</v>
      </c>
      <c r="H894">
        <v>5</v>
      </c>
      <c r="I894" s="4">
        <v>0.3</v>
      </c>
      <c r="J894">
        <v>1052.0999999999999</v>
      </c>
      <c r="K894" s="6">
        <v>-88.85</v>
      </c>
      <c r="L894" s="8">
        <f t="shared" si="41"/>
        <v>-8.4450147324398817E-2</v>
      </c>
    </row>
    <row r="895" spans="1:12" x14ac:dyDescent="0.2">
      <c r="A895" t="s">
        <v>1223</v>
      </c>
      <c r="B895" s="1" t="d">
        <v>2024-11-07</v>
      </c>
      <c r="C895" s="1" t="str">
        <f t="shared" si="39"/>
        <v>November 2024</v>
      </c>
      <c r="D895" t="s">
        <v>380</v>
      </c>
      <c r="E895" t="s">
        <v>85</v>
      </c>
      <c r="F895" t="s">
        <v>1337</v>
      </c>
      <c r="G895" t="str">
        <f t="shared" si="40"/>
        <v>Non-Campaign</v>
      </c>
      <c r="H895">
        <v>4</v>
      </c>
      <c r="I895" s="4">
        <v>0.2</v>
      </c>
      <c r="J895">
        <v>470.85</v>
      </c>
      <c r="K895" s="6">
        <v>177.37</v>
      </c>
      <c r="L895" s="8">
        <f t="shared" si="41"/>
        <v>0.37670170967399386</v>
      </c>
    </row>
    <row r="896" spans="1:12" x14ac:dyDescent="0.2">
      <c r="A896" t="s">
        <v>1224</v>
      </c>
      <c r="B896" s="1" t="d">
        <v>2024-10-24</v>
      </c>
      <c r="C896" s="1" t="str">
        <f t="shared" si="39"/>
        <v>October 2024</v>
      </c>
      <c r="D896" t="s">
        <v>419</v>
      </c>
      <c r="E896" t="s">
        <v>75</v>
      </c>
      <c r="F896" t="s">
        <v>12</v>
      </c>
      <c r="G896" t="str">
        <f t="shared" si="40"/>
        <v>Campaign</v>
      </c>
      <c r="H896">
        <v>5</v>
      </c>
      <c r="I896" s="4">
        <v>0</v>
      </c>
      <c r="J896">
        <v>878.3</v>
      </c>
      <c r="K896" s="6">
        <v>257.05</v>
      </c>
      <c r="L896" s="8">
        <f t="shared" si="41"/>
        <v>0.29266765342138223</v>
      </c>
    </row>
    <row r="897" spans="1:12" x14ac:dyDescent="0.2">
      <c r="A897" t="s">
        <v>1225</v>
      </c>
      <c r="B897" s="1" t="d">
        <v>2024-10-30</v>
      </c>
      <c r="C897" s="1" t="str">
        <f t="shared" si="39"/>
        <v>October 2024</v>
      </c>
      <c r="D897" t="s">
        <v>462</v>
      </c>
      <c r="E897" t="s">
        <v>11</v>
      </c>
      <c r="F897" t="s">
        <v>12</v>
      </c>
      <c r="G897" t="str">
        <f t="shared" si="40"/>
        <v>Campaign</v>
      </c>
      <c r="H897">
        <v>2</v>
      </c>
      <c r="I897" s="4">
        <v>0.2</v>
      </c>
      <c r="J897">
        <v>323.94</v>
      </c>
      <c r="K897" s="6">
        <v>88.54</v>
      </c>
      <c r="L897" s="8">
        <f t="shared" si="41"/>
        <v>0.27332222016422797</v>
      </c>
    </row>
    <row r="898" spans="1:12" x14ac:dyDescent="0.2">
      <c r="A898" t="s">
        <v>1226</v>
      </c>
      <c r="B898" s="1" t="d">
        <v>2024-10-08</v>
      </c>
      <c r="C898" s="1" t="str">
        <f t="shared" ref="C898:C961" si="42">TEXT(B898, "mmmm yyyy")</f>
        <v>October 2024</v>
      </c>
      <c r="D898" t="s">
        <v>308</v>
      </c>
      <c r="E898" t="s">
        <v>177</v>
      </c>
      <c r="F898" t="s">
        <v>12</v>
      </c>
      <c r="G898" t="str">
        <f t="shared" ref="G898:G961" si="43">IF(F898="No Campaign", "Non-Campaign", "Campaign")</f>
        <v>Campaign</v>
      </c>
      <c r="H898">
        <v>5</v>
      </c>
      <c r="I898" s="4">
        <v>0.15</v>
      </c>
      <c r="J898">
        <v>477.28</v>
      </c>
      <c r="K898" s="6">
        <v>237.08</v>
      </c>
      <c r="L898" s="8">
        <f t="shared" ref="L898:L961" si="44">IF(J898=0, 0,K898/J898)</f>
        <v>0.49673147837747239</v>
      </c>
    </row>
    <row r="899" spans="1:12" x14ac:dyDescent="0.2">
      <c r="A899" t="s">
        <v>1227</v>
      </c>
      <c r="B899" s="1" t="d">
        <v>2024-07-17</v>
      </c>
      <c r="C899" s="1" t="str">
        <f t="shared" si="42"/>
        <v>July 2024</v>
      </c>
      <c r="D899" t="s">
        <v>597</v>
      </c>
      <c r="E899" t="s">
        <v>47</v>
      </c>
      <c r="F899" t="s">
        <v>12</v>
      </c>
      <c r="G899" t="str">
        <f t="shared" si="43"/>
        <v>Campaign</v>
      </c>
      <c r="H899">
        <v>2</v>
      </c>
      <c r="I899" s="4">
        <v>0.1</v>
      </c>
      <c r="J899">
        <v>541.08000000000004</v>
      </c>
      <c r="K899" s="6">
        <v>84.7</v>
      </c>
      <c r="L899" s="8">
        <f t="shared" si="44"/>
        <v>0.15653877430324536</v>
      </c>
    </row>
    <row r="900" spans="1:12" x14ac:dyDescent="0.2">
      <c r="A900" t="s">
        <v>1228</v>
      </c>
      <c r="B900" s="1" t="d">
        <v>2025-01-11</v>
      </c>
      <c r="C900" s="1" t="str">
        <f t="shared" si="42"/>
        <v>January 2025</v>
      </c>
      <c r="D900" t="s">
        <v>216</v>
      </c>
      <c r="E900" t="s">
        <v>177</v>
      </c>
      <c r="F900" t="s">
        <v>109</v>
      </c>
      <c r="G900" t="str">
        <f t="shared" si="43"/>
        <v>Campaign</v>
      </c>
      <c r="H900">
        <v>3</v>
      </c>
      <c r="I900" s="4">
        <v>0.15</v>
      </c>
      <c r="J900">
        <v>286.36</v>
      </c>
      <c r="K900" s="6">
        <v>142.24</v>
      </c>
      <c r="L900" s="8">
        <f t="shared" si="44"/>
        <v>0.49671741863388741</v>
      </c>
    </row>
    <row r="901" spans="1:12" x14ac:dyDescent="0.2">
      <c r="A901" t="s">
        <v>1229</v>
      </c>
      <c r="B901" s="1" t="d">
        <v>2025-04-30</v>
      </c>
      <c r="C901" s="1" t="str">
        <f t="shared" si="42"/>
        <v>April 2025</v>
      </c>
      <c r="D901" t="s">
        <v>585</v>
      </c>
      <c r="E901" t="s">
        <v>19</v>
      </c>
      <c r="F901" t="s">
        <v>109</v>
      </c>
      <c r="G901" t="str">
        <f t="shared" si="43"/>
        <v>Campaign</v>
      </c>
      <c r="H901">
        <v>5</v>
      </c>
      <c r="I901" s="4">
        <v>0</v>
      </c>
      <c r="J901">
        <v>794.55</v>
      </c>
      <c r="K901" s="6">
        <v>451.35</v>
      </c>
      <c r="L901" s="8">
        <f t="shared" si="44"/>
        <v>0.56805739097602426</v>
      </c>
    </row>
    <row r="902" spans="1:12" x14ac:dyDescent="0.2">
      <c r="A902" t="s">
        <v>1230</v>
      </c>
      <c r="B902" s="1" t="d">
        <v>2025-01-17</v>
      </c>
      <c r="C902" s="1" t="str">
        <f t="shared" si="42"/>
        <v>January 2025</v>
      </c>
      <c r="D902" t="s">
        <v>597</v>
      </c>
      <c r="E902" t="s">
        <v>135</v>
      </c>
      <c r="F902" t="s">
        <v>16</v>
      </c>
      <c r="G902" t="str">
        <f t="shared" si="43"/>
        <v>Campaign</v>
      </c>
      <c r="H902">
        <v>4</v>
      </c>
      <c r="I902" s="4">
        <v>0.3</v>
      </c>
      <c r="J902">
        <v>568.9</v>
      </c>
      <c r="K902" s="6">
        <v>-80.02</v>
      </c>
      <c r="L902" s="8">
        <f t="shared" si="44"/>
        <v>-0.14065740903497978</v>
      </c>
    </row>
    <row r="903" spans="1:12" x14ac:dyDescent="0.2">
      <c r="A903" t="s">
        <v>1231</v>
      </c>
      <c r="B903" s="1" t="d">
        <v>2025-05-19</v>
      </c>
      <c r="C903" s="1" t="str">
        <f t="shared" si="42"/>
        <v>May 2025</v>
      </c>
      <c r="D903" t="s">
        <v>462</v>
      </c>
      <c r="E903" t="s">
        <v>26</v>
      </c>
      <c r="F903" t="s">
        <v>20</v>
      </c>
      <c r="G903" t="str">
        <f t="shared" si="43"/>
        <v>Campaign</v>
      </c>
      <c r="H903">
        <v>2</v>
      </c>
      <c r="I903" s="4">
        <v>0.2</v>
      </c>
      <c r="J903">
        <v>356.03</v>
      </c>
      <c r="K903" s="6">
        <v>172.71</v>
      </c>
      <c r="L903" s="8">
        <f t="shared" si="44"/>
        <v>0.48509957026093314</v>
      </c>
    </row>
    <row r="904" spans="1:12" x14ac:dyDescent="0.2">
      <c r="A904" t="s">
        <v>1232</v>
      </c>
      <c r="B904" s="1" t="d">
        <v>2024-07-30</v>
      </c>
      <c r="C904" s="1" t="str">
        <f t="shared" si="42"/>
        <v>July 2024</v>
      </c>
      <c r="D904" t="s">
        <v>155</v>
      </c>
      <c r="E904" t="s">
        <v>193</v>
      </c>
      <c r="F904" t="s">
        <v>1337</v>
      </c>
      <c r="G904" t="str">
        <f t="shared" si="43"/>
        <v>Non-Campaign</v>
      </c>
      <c r="H904">
        <v>4</v>
      </c>
      <c r="I904" s="4">
        <v>0.1</v>
      </c>
      <c r="J904">
        <v>1194.98</v>
      </c>
      <c r="K904" s="6">
        <v>374.46</v>
      </c>
      <c r="L904" s="8">
        <f t="shared" si="44"/>
        <v>0.31336089306934006</v>
      </c>
    </row>
    <row r="905" spans="1:12" x14ac:dyDescent="0.2">
      <c r="A905" t="s">
        <v>1233</v>
      </c>
      <c r="B905" s="1" t="d">
        <v>2024-08-10</v>
      </c>
      <c r="C905" s="1" t="str">
        <f t="shared" si="42"/>
        <v>August 2024</v>
      </c>
      <c r="D905" t="s">
        <v>473</v>
      </c>
      <c r="E905" t="s">
        <v>29</v>
      </c>
      <c r="F905" t="s">
        <v>16</v>
      </c>
      <c r="G905" t="str">
        <f t="shared" si="43"/>
        <v>Campaign</v>
      </c>
      <c r="H905">
        <v>4</v>
      </c>
      <c r="I905" s="4">
        <v>0.2</v>
      </c>
      <c r="J905">
        <v>1203.01</v>
      </c>
      <c r="K905" s="6">
        <v>454.21</v>
      </c>
      <c r="L905" s="8">
        <f t="shared" si="44"/>
        <v>0.37756128377985221</v>
      </c>
    </row>
    <row r="906" spans="1:12" x14ac:dyDescent="0.2">
      <c r="A906" t="s">
        <v>1234</v>
      </c>
      <c r="B906" s="1" t="d">
        <v>2024-08-01</v>
      </c>
      <c r="C906" s="1" t="str">
        <f t="shared" si="42"/>
        <v>August 2024</v>
      </c>
      <c r="D906" t="s">
        <v>57</v>
      </c>
      <c r="E906" t="s">
        <v>135</v>
      </c>
      <c r="F906" t="s">
        <v>1337</v>
      </c>
      <c r="G906" t="str">
        <f t="shared" si="43"/>
        <v>Non-Campaign</v>
      </c>
      <c r="H906">
        <v>1</v>
      </c>
      <c r="I906" s="4">
        <v>0.1</v>
      </c>
      <c r="J906">
        <v>182.86</v>
      </c>
      <c r="K906" s="6">
        <v>20.63</v>
      </c>
      <c r="L906" s="8">
        <f t="shared" si="44"/>
        <v>0.11281854971016077</v>
      </c>
    </row>
    <row r="907" spans="1:12" x14ac:dyDescent="0.2">
      <c r="A907" t="s">
        <v>1235</v>
      </c>
      <c r="B907" s="1" t="d">
        <v>2025-01-05</v>
      </c>
      <c r="C907" s="1" t="str">
        <f t="shared" si="42"/>
        <v>January 2025</v>
      </c>
      <c r="D907" t="s">
        <v>888</v>
      </c>
      <c r="E907" t="s">
        <v>53</v>
      </c>
      <c r="F907" t="s">
        <v>16</v>
      </c>
      <c r="G907" t="str">
        <f t="shared" si="43"/>
        <v>Campaign</v>
      </c>
      <c r="H907">
        <v>1</v>
      </c>
      <c r="I907" s="4">
        <v>0</v>
      </c>
      <c r="J907">
        <v>334.61</v>
      </c>
      <c r="K907" s="6">
        <v>147.81</v>
      </c>
      <c r="L907" s="8">
        <f t="shared" si="44"/>
        <v>0.44173814291264457</v>
      </c>
    </row>
    <row r="908" spans="1:12" x14ac:dyDescent="0.2">
      <c r="A908" t="s">
        <v>1236</v>
      </c>
      <c r="B908" s="1" t="d">
        <v>2024-11-01</v>
      </c>
      <c r="C908" s="1" t="str">
        <f t="shared" si="42"/>
        <v>November 2024</v>
      </c>
      <c r="D908" t="s">
        <v>435</v>
      </c>
      <c r="E908" t="s">
        <v>53</v>
      </c>
      <c r="F908" t="s">
        <v>1337</v>
      </c>
      <c r="G908" t="str">
        <f t="shared" si="43"/>
        <v>Non-Campaign</v>
      </c>
      <c r="H908">
        <v>3</v>
      </c>
      <c r="I908" s="4">
        <v>0</v>
      </c>
      <c r="J908">
        <v>1003.83</v>
      </c>
      <c r="K908" s="6">
        <v>443.43</v>
      </c>
      <c r="L908" s="8">
        <f t="shared" si="44"/>
        <v>0.44173814291264457</v>
      </c>
    </row>
    <row r="909" spans="1:12" x14ac:dyDescent="0.2">
      <c r="A909" t="s">
        <v>1237</v>
      </c>
      <c r="B909" s="1" t="d">
        <v>2024-10-05</v>
      </c>
      <c r="C909" s="1" t="str">
        <f t="shared" si="42"/>
        <v>October 2024</v>
      </c>
      <c r="D909" t="s">
        <v>829</v>
      </c>
      <c r="E909" t="s">
        <v>53</v>
      </c>
      <c r="F909" t="s">
        <v>1337</v>
      </c>
      <c r="G909" t="str">
        <f t="shared" si="43"/>
        <v>Non-Campaign</v>
      </c>
      <c r="H909">
        <v>5</v>
      </c>
      <c r="I909" s="4">
        <v>0.2</v>
      </c>
      <c r="J909">
        <v>1338.44</v>
      </c>
      <c r="K909" s="6">
        <v>404.44</v>
      </c>
      <c r="L909" s="8">
        <f t="shared" si="44"/>
        <v>0.30217267864080571</v>
      </c>
    </row>
    <row r="910" spans="1:12" x14ac:dyDescent="0.2">
      <c r="A910" t="s">
        <v>1238</v>
      </c>
      <c r="B910" s="1" t="d">
        <v>2024-10-14</v>
      </c>
      <c r="C910" s="1" t="str">
        <f t="shared" si="42"/>
        <v>October 2024</v>
      </c>
      <c r="D910" t="s">
        <v>1103</v>
      </c>
      <c r="E910" t="s">
        <v>177</v>
      </c>
      <c r="F910" t="s">
        <v>1337</v>
      </c>
      <c r="G910" t="str">
        <f t="shared" si="43"/>
        <v>Non-Campaign</v>
      </c>
      <c r="H910">
        <v>1</v>
      </c>
      <c r="I910" s="4">
        <v>0.05</v>
      </c>
      <c r="J910">
        <v>106.68</v>
      </c>
      <c r="K910" s="6">
        <v>58.64</v>
      </c>
      <c r="L910" s="8">
        <f t="shared" si="44"/>
        <v>0.54968128983877007</v>
      </c>
    </row>
    <row r="911" spans="1:12" x14ac:dyDescent="0.2">
      <c r="A911" t="s">
        <v>1239</v>
      </c>
      <c r="B911" s="1" t="d">
        <v>2025-04-06</v>
      </c>
      <c r="C911" s="1" t="str">
        <f t="shared" si="42"/>
        <v>April 2025</v>
      </c>
      <c r="D911" t="s">
        <v>580</v>
      </c>
      <c r="E911" t="s">
        <v>148</v>
      </c>
      <c r="F911" t="s">
        <v>16</v>
      </c>
      <c r="G911" t="str">
        <f t="shared" si="43"/>
        <v>Campaign</v>
      </c>
      <c r="H911">
        <v>2</v>
      </c>
      <c r="I911" s="4">
        <v>0.05</v>
      </c>
      <c r="J911">
        <v>940.44</v>
      </c>
      <c r="K911" s="6">
        <v>291.04000000000002</v>
      </c>
      <c r="L911" s="8">
        <f t="shared" si="44"/>
        <v>0.30947216196673899</v>
      </c>
    </row>
    <row r="912" spans="1:12" x14ac:dyDescent="0.2">
      <c r="A912" t="s">
        <v>1240</v>
      </c>
      <c r="B912" s="1" t="d">
        <v>2025-06-16</v>
      </c>
      <c r="C912" s="1" t="str">
        <f t="shared" si="42"/>
        <v>June 2025</v>
      </c>
      <c r="D912" t="s">
        <v>590</v>
      </c>
      <c r="E912" t="s">
        <v>47</v>
      </c>
      <c r="F912" t="s">
        <v>12</v>
      </c>
      <c r="G912" t="str">
        <f t="shared" si="43"/>
        <v>Campaign</v>
      </c>
      <c r="H912">
        <v>4</v>
      </c>
      <c r="I912" s="4">
        <v>0.1</v>
      </c>
      <c r="J912">
        <v>1082.1600000000001</v>
      </c>
      <c r="K912" s="6">
        <v>169.4</v>
      </c>
      <c r="L912" s="8">
        <f t="shared" si="44"/>
        <v>0.15653877430324536</v>
      </c>
    </row>
    <row r="913" spans="1:12" x14ac:dyDescent="0.2">
      <c r="A913" t="s">
        <v>1241</v>
      </c>
      <c r="B913" s="1" t="d">
        <v>2024-11-29</v>
      </c>
      <c r="C913" s="1" t="str">
        <f t="shared" si="42"/>
        <v>November 2024</v>
      </c>
      <c r="D913" t="s">
        <v>60</v>
      </c>
      <c r="E913" t="s">
        <v>85</v>
      </c>
      <c r="F913" t="s">
        <v>1337</v>
      </c>
      <c r="G913" t="str">
        <f t="shared" si="43"/>
        <v>Non-Campaign</v>
      </c>
      <c r="H913">
        <v>3</v>
      </c>
      <c r="I913" s="4">
        <v>0.3</v>
      </c>
      <c r="J913">
        <v>308.99</v>
      </c>
      <c r="K913" s="6">
        <v>88.88</v>
      </c>
      <c r="L913" s="8">
        <f t="shared" si="44"/>
        <v>0.28764684941260232</v>
      </c>
    </row>
    <row r="914" spans="1:12" x14ac:dyDescent="0.2">
      <c r="A914" t="s">
        <v>1242</v>
      </c>
      <c r="B914" s="1" t="d">
        <v>2024-12-12</v>
      </c>
      <c r="C914" s="1" t="str">
        <f t="shared" si="42"/>
        <v>December 2024</v>
      </c>
      <c r="D914" t="s">
        <v>437</v>
      </c>
      <c r="E914" t="s">
        <v>23</v>
      </c>
      <c r="F914" t="s">
        <v>16</v>
      </c>
      <c r="G914" t="str">
        <f t="shared" si="43"/>
        <v>Campaign</v>
      </c>
      <c r="H914">
        <v>2</v>
      </c>
      <c r="I914" s="4">
        <v>0</v>
      </c>
      <c r="J914">
        <v>525.14</v>
      </c>
      <c r="K914" s="6">
        <v>309.5</v>
      </c>
      <c r="L914" s="8">
        <f t="shared" si="44"/>
        <v>0.58936664508512016</v>
      </c>
    </row>
    <row r="915" spans="1:12" x14ac:dyDescent="0.2">
      <c r="A915" t="s">
        <v>1243</v>
      </c>
      <c r="B915" s="1" t="d">
        <v>2025-01-17</v>
      </c>
      <c r="C915" s="1" t="str">
        <f t="shared" si="42"/>
        <v>January 2025</v>
      </c>
      <c r="D915" t="s">
        <v>62</v>
      </c>
      <c r="E915" t="s">
        <v>29</v>
      </c>
      <c r="F915" t="s">
        <v>1337</v>
      </c>
      <c r="G915" t="str">
        <f t="shared" si="43"/>
        <v>Non-Campaign</v>
      </c>
      <c r="H915">
        <v>4</v>
      </c>
      <c r="I915" s="4">
        <v>0.15</v>
      </c>
      <c r="J915">
        <v>1278.2</v>
      </c>
      <c r="K915" s="6">
        <v>529.4</v>
      </c>
      <c r="L915" s="8">
        <f t="shared" si="44"/>
        <v>0.41417618526052258</v>
      </c>
    </row>
    <row r="916" spans="1:12" x14ac:dyDescent="0.2">
      <c r="A916" t="s">
        <v>1244</v>
      </c>
      <c r="B916" s="1" t="d">
        <v>2025-04-21</v>
      </c>
      <c r="C916" s="1" t="str">
        <f t="shared" si="42"/>
        <v>April 2025</v>
      </c>
      <c r="D916" t="s">
        <v>953</v>
      </c>
      <c r="E916" t="s">
        <v>119</v>
      </c>
      <c r="F916" t="s">
        <v>12</v>
      </c>
      <c r="G916" t="str">
        <f t="shared" si="43"/>
        <v>Campaign</v>
      </c>
      <c r="H916">
        <v>5</v>
      </c>
      <c r="I916" s="4">
        <v>0.15</v>
      </c>
      <c r="J916">
        <v>532.4</v>
      </c>
      <c r="K916" s="6">
        <v>31.95</v>
      </c>
      <c r="L916" s="8">
        <f t="shared" si="44"/>
        <v>6.0011269722013524E-2</v>
      </c>
    </row>
    <row r="917" spans="1:12" x14ac:dyDescent="0.2">
      <c r="A917" t="s">
        <v>1245</v>
      </c>
      <c r="B917" s="1" t="d">
        <v>2025-06-04</v>
      </c>
      <c r="C917" s="1" t="str">
        <f t="shared" si="42"/>
        <v>June 2025</v>
      </c>
      <c r="D917" t="s">
        <v>508</v>
      </c>
      <c r="E917" t="s">
        <v>15</v>
      </c>
      <c r="F917" t="s">
        <v>1337</v>
      </c>
      <c r="G917" t="str">
        <f t="shared" si="43"/>
        <v>Non-Campaign</v>
      </c>
      <c r="H917">
        <v>4</v>
      </c>
      <c r="I917" s="4">
        <v>0.15</v>
      </c>
      <c r="J917">
        <v>1383.09</v>
      </c>
      <c r="K917" s="6">
        <v>277.85000000000002</v>
      </c>
      <c r="L917" s="8">
        <f t="shared" si="44"/>
        <v>0.20089075909738344</v>
      </c>
    </row>
    <row r="918" spans="1:12" x14ac:dyDescent="0.2">
      <c r="A918" t="s">
        <v>1246</v>
      </c>
      <c r="B918" s="1" t="d">
        <v>2025-06-26</v>
      </c>
      <c r="C918" s="1" t="str">
        <f t="shared" si="42"/>
        <v>June 2025</v>
      </c>
      <c r="D918" t="s">
        <v>547</v>
      </c>
      <c r="E918" t="s">
        <v>26</v>
      </c>
      <c r="F918" t="s">
        <v>12</v>
      </c>
      <c r="G918" t="str">
        <f t="shared" si="43"/>
        <v>Campaign</v>
      </c>
      <c r="H918">
        <v>2</v>
      </c>
      <c r="I918" s="4">
        <v>0.2</v>
      </c>
      <c r="J918">
        <v>356.03</v>
      </c>
      <c r="K918" s="6">
        <v>172.71</v>
      </c>
      <c r="L918" s="8">
        <f t="shared" si="44"/>
        <v>0.48509957026093314</v>
      </c>
    </row>
    <row r="919" spans="1:12" x14ac:dyDescent="0.2">
      <c r="A919" t="s">
        <v>1247</v>
      </c>
      <c r="B919" s="1" t="d">
        <v>2024-08-21</v>
      </c>
      <c r="C919" s="1" t="str">
        <f t="shared" si="42"/>
        <v>August 2024</v>
      </c>
      <c r="D919" t="s">
        <v>102</v>
      </c>
      <c r="E919" t="s">
        <v>75</v>
      </c>
      <c r="F919" t="s">
        <v>30</v>
      </c>
      <c r="G919" t="str">
        <f t="shared" si="43"/>
        <v>Campaign</v>
      </c>
      <c r="H919">
        <v>1</v>
      </c>
      <c r="I919" s="4">
        <v>0.05</v>
      </c>
      <c r="J919">
        <v>166.88</v>
      </c>
      <c r="K919" s="6">
        <v>42.63</v>
      </c>
      <c r="L919" s="8">
        <f t="shared" si="44"/>
        <v>0.25545302013422821</v>
      </c>
    </row>
    <row r="920" spans="1:12" x14ac:dyDescent="0.2">
      <c r="A920" t="s">
        <v>1248</v>
      </c>
      <c r="B920" s="1" t="d">
        <v>2025-03-12</v>
      </c>
      <c r="C920" s="1" t="str">
        <f t="shared" si="42"/>
        <v>March 2025</v>
      </c>
      <c r="D920" t="s">
        <v>622</v>
      </c>
      <c r="E920" t="s">
        <v>58</v>
      </c>
      <c r="F920" t="s">
        <v>1337</v>
      </c>
      <c r="G920" t="str">
        <f t="shared" si="43"/>
        <v>Non-Campaign</v>
      </c>
      <c r="H920">
        <v>1</v>
      </c>
      <c r="I920" s="4">
        <v>0.05</v>
      </c>
      <c r="J920">
        <v>65.739999999999995</v>
      </c>
      <c r="K920" s="6">
        <v>17.559999999999999</v>
      </c>
      <c r="L920" s="8">
        <f t="shared" si="44"/>
        <v>0.26711286887739583</v>
      </c>
    </row>
    <row r="921" spans="1:12" x14ac:dyDescent="0.2">
      <c r="A921" t="s">
        <v>1249</v>
      </c>
      <c r="B921" s="1" t="d">
        <v>2024-10-29</v>
      </c>
      <c r="C921" s="1" t="str">
        <f t="shared" si="42"/>
        <v>October 2024</v>
      </c>
      <c r="D921" t="s">
        <v>499</v>
      </c>
      <c r="E921" t="s">
        <v>96</v>
      </c>
      <c r="F921" t="s">
        <v>109</v>
      </c>
      <c r="G921" t="str">
        <f t="shared" si="43"/>
        <v>Campaign</v>
      </c>
      <c r="H921">
        <v>3</v>
      </c>
      <c r="I921" s="4">
        <v>0</v>
      </c>
      <c r="J921">
        <v>155.31</v>
      </c>
      <c r="K921" s="6">
        <v>36.450000000000003</v>
      </c>
      <c r="L921" s="8">
        <f t="shared" si="44"/>
        <v>0.23469190650956154</v>
      </c>
    </row>
    <row r="922" spans="1:12" x14ac:dyDescent="0.2">
      <c r="A922" t="s">
        <v>1250</v>
      </c>
      <c r="B922" s="1" t="d">
        <v>2024-08-10</v>
      </c>
      <c r="C922" s="1" t="str">
        <f t="shared" si="42"/>
        <v>August 2024</v>
      </c>
      <c r="D922" t="s">
        <v>169</v>
      </c>
      <c r="E922" t="s">
        <v>23</v>
      </c>
      <c r="F922" t="s">
        <v>1337</v>
      </c>
      <c r="G922" t="str">
        <f t="shared" si="43"/>
        <v>Non-Campaign</v>
      </c>
      <c r="H922">
        <v>2</v>
      </c>
      <c r="I922" s="4">
        <v>0.05</v>
      </c>
      <c r="J922">
        <v>498.88</v>
      </c>
      <c r="K922" s="6">
        <v>283.24</v>
      </c>
      <c r="L922" s="8">
        <f t="shared" si="44"/>
        <v>0.56775176395125082</v>
      </c>
    </row>
    <row r="923" spans="1:12" x14ac:dyDescent="0.2">
      <c r="A923" t="s">
        <v>1251</v>
      </c>
      <c r="B923" s="1" t="d">
        <v>2024-12-18</v>
      </c>
      <c r="C923" s="1" t="str">
        <f t="shared" si="42"/>
        <v>December 2024</v>
      </c>
      <c r="D923" t="s">
        <v>553</v>
      </c>
      <c r="E923" t="s">
        <v>75</v>
      </c>
      <c r="F923" t="s">
        <v>16</v>
      </c>
      <c r="G923" t="str">
        <f t="shared" si="43"/>
        <v>Campaign</v>
      </c>
      <c r="H923">
        <v>4</v>
      </c>
      <c r="I923" s="4">
        <v>0.3</v>
      </c>
      <c r="J923">
        <v>491.85</v>
      </c>
      <c r="K923" s="6">
        <v>-5.15</v>
      </c>
      <c r="L923" s="8">
        <f t="shared" si="44"/>
        <v>-1.0470671952831148E-2</v>
      </c>
    </row>
    <row r="924" spans="1:12" x14ac:dyDescent="0.2">
      <c r="A924" t="s">
        <v>1252</v>
      </c>
      <c r="B924" s="1" t="d">
        <v>2024-12-28</v>
      </c>
      <c r="C924" s="1" t="str">
        <f t="shared" si="42"/>
        <v>December 2024</v>
      </c>
      <c r="D924" t="s">
        <v>1253</v>
      </c>
      <c r="E924" t="s">
        <v>44</v>
      </c>
      <c r="F924" t="s">
        <v>12</v>
      </c>
      <c r="G924" t="str">
        <f t="shared" si="43"/>
        <v>Campaign</v>
      </c>
      <c r="H924">
        <v>1</v>
      </c>
      <c r="I924" s="4">
        <v>0.1</v>
      </c>
      <c r="J924">
        <v>144.66</v>
      </c>
      <c r="K924" s="6">
        <v>39.950000000000003</v>
      </c>
      <c r="L924" s="8">
        <f t="shared" si="44"/>
        <v>0.27616480022120837</v>
      </c>
    </row>
    <row r="925" spans="1:12" x14ac:dyDescent="0.2">
      <c r="A925" t="s">
        <v>1254</v>
      </c>
      <c r="B925" s="1" t="d">
        <v>2025-01-15</v>
      </c>
      <c r="C925" s="1" t="str">
        <f t="shared" si="42"/>
        <v>January 2025</v>
      </c>
      <c r="D925" t="s">
        <v>888</v>
      </c>
      <c r="E925" t="s">
        <v>44</v>
      </c>
      <c r="F925" t="s">
        <v>1337</v>
      </c>
      <c r="G925" t="str">
        <f t="shared" si="43"/>
        <v>Non-Campaign</v>
      </c>
      <c r="H925">
        <v>1</v>
      </c>
      <c r="I925" s="4">
        <v>0.15</v>
      </c>
      <c r="J925">
        <v>136.62</v>
      </c>
      <c r="K925" s="6">
        <v>31.91</v>
      </c>
      <c r="L925" s="8">
        <f t="shared" si="44"/>
        <v>0.23356755965451617</v>
      </c>
    </row>
    <row r="926" spans="1:12" x14ac:dyDescent="0.2">
      <c r="A926" t="s">
        <v>1255</v>
      </c>
      <c r="B926" s="1" t="d">
        <v>2025-06-26</v>
      </c>
      <c r="C926" s="1" t="str">
        <f t="shared" si="42"/>
        <v>June 2025</v>
      </c>
      <c r="D926" t="s">
        <v>628</v>
      </c>
      <c r="E926" t="s">
        <v>26</v>
      </c>
      <c r="F926" t="s">
        <v>109</v>
      </c>
      <c r="G926" t="str">
        <f t="shared" si="43"/>
        <v>Campaign</v>
      </c>
      <c r="H926">
        <v>4</v>
      </c>
      <c r="I926" s="4">
        <v>0.05</v>
      </c>
      <c r="J926">
        <v>845.58</v>
      </c>
      <c r="K926" s="6">
        <v>478.94</v>
      </c>
      <c r="L926" s="8">
        <f t="shared" si="44"/>
        <v>0.56640412497930415</v>
      </c>
    </row>
    <row r="927" spans="1:12" x14ac:dyDescent="0.2">
      <c r="A927" t="s">
        <v>1256</v>
      </c>
      <c r="B927" s="1" t="d">
        <v>2025-05-12</v>
      </c>
      <c r="C927" s="1" t="str">
        <f t="shared" si="42"/>
        <v>May 2025</v>
      </c>
      <c r="D927" t="s">
        <v>121</v>
      </c>
      <c r="E927" t="s">
        <v>53</v>
      </c>
      <c r="F927" t="s">
        <v>109</v>
      </c>
      <c r="G927" t="str">
        <f t="shared" si="43"/>
        <v>Campaign</v>
      </c>
      <c r="H927">
        <v>3</v>
      </c>
      <c r="I927" s="4">
        <v>0.2</v>
      </c>
      <c r="J927">
        <v>803.06</v>
      </c>
      <c r="K927" s="6">
        <v>242.66</v>
      </c>
      <c r="L927" s="8">
        <f t="shared" si="44"/>
        <v>0.30216920279929271</v>
      </c>
    </row>
    <row r="928" spans="1:12" x14ac:dyDescent="0.2">
      <c r="A928" t="s">
        <v>1257</v>
      </c>
      <c r="B928" s="1" t="d">
        <v>2025-04-24</v>
      </c>
      <c r="C928" s="1" t="str">
        <f t="shared" si="42"/>
        <v>April 2025</v>
      </c>
      <c r="D928" t="s">
        <v>334</v>
      </c>
      <c r="E928" t="s">
        <v>38</v>
      </c>
      <c r="F928" t="s">
        <v>30</v>
      </c>
      <c r="G928" t="str">
        <f t="shared" si="43"/>
        <v>Campaign</v>
      </c>
      <c r="H928">
        <v>2</v>
      </c>
      <c r="I928" s="4">
        <v>0.2</v>
      </c>
      <c r="J928">
        <v>751.34</v>
      </c>
      <c r="K928" s="6">
        <v>132.22</v>
      </c>
      <c r="L928" s="8">
        <f t="shared" si="44"/>
        <v>0.17597891766710144</v>
      </c>
    </row>
    <row r="929" spans="1:12" x14ac:dyDescent="0.2">
      <c r="A929" t="s">
        <v>1258</v>
      </c>
      <c r="B929" s="1" t="d">
        <v>2025-04-29</v>
      </c>
      <c r="C929" s="1" t="str">
        <f t="shared" si="42"/>
        <v>April 2025</v>
      </c>
      <c r="D929" t="s">
        <v>294</v>
      </c>
      <c r="E929" t="s">
        <v>23</v>
      </c>
      <c r="F929" t="s">
        <v>20</v>
      </c>
      <c r="G929" t="str">
        <f t="shared" si="43"/>
        <v>Campaign</v>
      </c>
      <c r="H929">
        <v>4</v>
      </c>
      <c r="I929" s="4">
        <v>0.3</v>
      </c>
      <c r="J929">
        <v>735.2</v>
      </c>
      <c r="K929" s="6">
        <v>303.92</v>
      </c>
      <c r="L929" s="8">
        <f t="shared" si="44"/>
        <v>0.41338411316648532</v>
      </c>
    </row>
    <row r="930" spans="1:12" x14ac:dyDescent="0.2">
      <c r="A930" t="s">
        <v>1259</v>
      </c>
      <c r="B930" s="1" t="d">
        <v>2024-12-23</v>
      </c>
      <c r="C930" s="1" t="str">
        <f t="shared" si="42"/>
        <v>December 2024</v>
      </c>
      <c r="D930" t="s">
        <v>227</v>
      </c>
      <c r="E930" t="s">
        <v>19</v>
      </c>
      <c r="F930" t="s">
        <v>1337</v>
      </c>
      <c r="G930" t="str">
        <f t="shared" si="43"/>
        <v>Non-Campaign</v>
      </c>
      <c r="H930">
        <v>3</v>
      </c>
      <c r="I930" s="4">
        <v>0.2</v>
      </c>
      <c r="J930">
        <v>381.38</v>
      </c>
      <c r="K930" s="6">
        <v>175.46</v>
      </c>
      <c r="L930" s="8">
        <f t="shared" si="44"/>
        <v>0.46006607582988096</v>
      </c>
    </row>
    <row r="931" spans="1:12" x14ac:dyDescent="0.2">
      <c r="A931" t="s">
        <v>1260</v>
      </c>
      <c r="B931" s="1" t="d">
        <v>2025-03-06</v>
      </c>
      <c r="C931" s="1" t="str">
        <f t="shared" si="42"/>
        <v>March 2025</v>
      </c>
      <c r="D931" t="s">
        <v>983</v>
      </c>
      <c r="E931" t="s">
        <v>75</v>
      </c>
      <c r="F931" t="s">
        <v>1337</v>
      </c>
      <c r="G931" t="str">
        <f t="shared" si="43"/>
        <v>Non-Campaign</v>
      </c>
      <c r="H931">
        <v>2</v>
      </c>
      <c r="I931" s="4">
        <v>0.2</v>
      </c>
      <c r="J931">
        <v>281.06</v>
      </c>
      <c r="K931" s="6">
        <v>32.56</v>
      </c>
      <c r="L931" s="8">
        <f t="shared" si="44"/>
        <v>0.11584715007471715</v>
      </c>
    </row>
    <row r="932" spans="1:12" x14ac:dyDescent="0.2">
      <c r="A932" t="s">
        <v>1261</v>
      </c>
      <c r="B932" s="1" t="d">
        <v>2025-03-31</v>
      </c>
      <c r="C932" s="1" t="str">
        <f t="shared" si="42"/>
        <v>March 2025</v>
      </c>
      <c r="D932" t="s">
        <v>354</v>
      </c>
      <c r="E932" t="s">
        <v>106</v>
      </c>
      <c r="F932" t="s">
        <v>1337</v>
      </c>
      <c r="G932" t="str">
        <f t="shared" si="43"/>
        <v>Non-Campaign</v>
      </c>
      <c r="H932">
        <v>4</v>
      </c>
      <c r="I932" s="4">
        <v>0.05</v>
      </c>
      <c r="J932">
        <v>751.22</v>
      </c>
      <c r="K932" s="6">
        <v>368.66</v>
      </c>
      <c r="L932" s="8">
        <f t="shared" si="44"/>
        <v>0.49074838263092041</v>
      </c>
    </row>
    <row r="933" spans="1:12" x14ac:dyDescent="0.2">
      <c r="A933" t="s">
        <v>1262</v>
      </c>
      <c r="B933" s="1" t="d">
        <v>2025-05-14</v>
      </c>
      <c r="C933" s="1" t="str">
        <f t="shared" si="42"/>
        <v>May 2025</v>
      </c>
      <c r="D933" t="s">
        <v>241</v>
      </c>
      <c r="E933" t="s">
        <v>53</v>
      </c>
      <c r="F933" t="s">
        <v>109</v>
      </c>
      <c r="G933" t="str">
        <f t="shared" si="43"/>
        <v>Campaign</v>
      </c>
      <c r="H933">
        <v>2</v>
      </c>
      <c r="I933" s="4">
        <v>0</v>
      </c>
      <c r="J933">
        <v>669.22</v>
      </c>
      <c r="K933" s="6">
        <v>295.62</v>
      </c>
      <c r="L933" s="8">
        <f t="shared" si="44"/>
        <v>0.44173814291264457</v>
      </c>
    </row>
    <row r="934" spans="1:12" x14ac:dyDescent="0.2">
      <c r="A934" t="s">
        <v>1263</v>
      </c>
      <c r="B934" s="1" t="d">
        <v>2025-06-04</v>
      </c>
      <c r="C934" s="1" t="str">
        <f t="shared" si="42"/>
        <v>June 2025</v>
      </c>
      <c r="D934" t="s">
        <v>192</v>
      </c>
      <c r="E934" t="s">
        <v>29</v>
      </c>
      <c r="F934" t="s">
        <v>1337</v>
      </c>
      <c r="G934" t="str">
        <f t="shared" si="43"/>
        <v>Non-Campaign</v>
      </c>
      <c r="H934">
        <v>1</v>
      </c>
      <c r="I934" s="4">
        <v>0.3</v>
      </c>
      <c r="J934">
        <v>263.16000000000003</v>
      </c>
      <c r="K934" s="6">
        <v>75.959999999999994</v>
      </c>
      <c r="L934" s="8">
        <f t="shared" si="44"/>
        <v>0.28864569083447328</v>
      </c>
    </row>
    <row r="935" spans="1:12" x14ac:dyDescent="0.2">
      <c r="A935" t="s">
        <v>1264</v>
      </c>
      <c r="B935" s="1" t="d">
        <v>2025-02-19</v>
      </c>
      <c r="C935" s="1" t="str">
        <f t="shared" si="42"/>
        <v>February 2025</v>
      </c>
      <c r="D935" t="s">
        <v>1101</v>
      </c>
      <c r="E935" t="s">
        <v>119</v>
      </c>
      <c r="F935" t="s">
        <v>1337</v>
      </c>
      <c r="G935" t="str">
        <f t="shared" si="43"/>
        <v>Non-Campaign</v>
      </c>
      <c r="H935">
        <v>4</v>
      </c>
      <c r="I935" s="4">
        <v>0</v>
      </c>
      <c r="J935">
        <v>501.08</v>
      </c>
      <c r="K935" s="6">
        <v>100.72</v>
      </c>
      <c r="L935" s="8">
        <f t="shared" si="44"/>
        <v>0.20100582741278838</v>
      </c>
    </row>
    <row r="936" spans="1:12" x14ac:dyDescent="0.2">
      <c r="A936" t="s">
        <v>1265</v>
      </c>
      <c r="B936" s="1" t="d">
        <v>2024-07-23</v>
      </c>
      <c r="C936" s="1" t="str">
        <f t="shared" si="42"/>
        <v>July 2024</v>
      </c>
      <c r="D936" t="s">
        <v>1266</v>
      </c>
      <c r="E936" t="s">
        <v>44</v>
      </c>
      <c r="F936" t="s">
        <v>30</v>
      </c>
      <c r="G936" t="str">
        <f t="shared" si="43"/>
        <v>Campaign</v>
      </c>
      <c r="H936">
        <v>1</v>
      </c>
      <c r="I936" s="4">
        <v>0.3</v>
      </c>
      <c r="J936">
        <v>112.51</v>
      </c>
      <c r="K936" s="6">
        <v>7.8</v>
      </c>
      <c r="L936" s="8">
        <f t="shared" si="44"/>
        <v>6.9327170918140599E-2</v>
      </c>
    </row>
    <row r="937" spans="1:12" x14ac:dyDescent="0.2">
      <c r="A937" t="s">
        <v>1267</v>
      </c>
      <c r="B937" s="1" t="d">
        <v>2024-08-10</v>
      </c>
      <c r="C937" s="1" t="str">
        <f t="shared" si="42"/>
        <v>August 2024</v>
      </c>
      <c r="D937" t="s">
        <v>57</v>
      </c>
      <c r="E937" t="s">
        <v>53</v>
      </c>
      <c r="F937" t="s">
        <v>109</v>
      </c>
      <c r="G937" t="str">
        <f t="shared" si="43"/>
        <v>Campaign</v>
      </c>
      <c r="H937">
        <v>3</v>
      </c>
      <c r="I937" s="4">
        <v>0</v>
      </c>
      <c r="J937">
        <v>1003.83</v>
      </c>
      <c r="K937" s="6">
        <v>443.43</v>
      </c>
      <c r="L937" s="8">
        <f t="shared" si="44"/>
        <v>0.44173814291264457</v>
      </c>
    </row>
    <row r="938" spans="1:12" x14ac:dyDescent="0.2">
      <c r="A938" t="s">
        <v>1268</v>
      </c>
      <c r="B938" s="1" t="d">
        <v>2024-09-09</v>
      </c>
      <c r="C938" s="1" t="str">
        <f t="shared" si="42"/>
        <v>September 2024</v>
      </c>
      <c r="D938" t="s">
        <v>209</v>
      </c>
      <c r="E938" t="s">
        <v>80</v>
      </c>
      <c r="F938" t="s">
        <v>1337</v>
      </c>
      <c r="G938" t="str">
        <f t="shared" si="43"/>
        <v>Non-Campaign</v>
      </c>
      <c r="H938">
        <v>1</v>
      </c>
      <c r="I938" s="4">
        <v>0</v>
      </c>
      <c r="J938">
        <v>146.97</v>
      </c>
      <c r="K938" s="6">
        <v>85.63</v>
      </c>
      <c r="L938" s="8">
        <f t="shared" si="44"/>
        <v>0.58263591209090293</v>
      </c>
    </row>
    <row r="939" spans="1:12" x14ac:dyDescent="0.2">
      <c r="A939" t="s">
        <v>1269</v>
      </c>
      <c r="B939" s="1" t="d">
        <v>2024-11-18</v>
      </c>
      <c r="C939" s="1" t="str">
        <f t="shared" si="42"/>
        <v>November 2024</v>
      </c>
      <c r="D939" t="s">
        <v>1266</v>
      </c>
      <c r="E939" t="s">
        <v>165</v>
      </c>
      <c r="F939" t="s">
        <v>1337</v>
      </c>
      <c r="G939" t="str">
        <f t="shared" si="43"/>
        <v>Non-Campaign</v>
      </c>
      <c r="H939">
        <v>5</v>
      </c>
      <c r="I939" s="4">
        <v>0.2</v>
      </c>
      <c r="J939">
        <v>319.68</v>
      </c>
      <c r="K939" s="6">
        <v>12.43</v>
      </c>
      <c r="L939" s="8">
        <f t="shared" si="44"/>
        <v>3.8882632632632634E-2</v>
      </c>
    </row>
    <row r="940" spans="1:12" x14ac:dyDescent="0.2">
      <c r="A940" t="s">
        <v>1270</v>
      </c>
      <c r="B940" s="1" t="d">
        <v>2024-11-10</v>
      </c>
      <c r="C940" s="1" t="str">
        <f t="shared" si="42"/>
        <v>November 2024</v>
      </c>
      <c r="D940" t="s">
        <v>825</v>
      </c>
      <c r="E940" t="s">
        <v>130</v>
      </c>
      <c r="F940" t="s">
        <v>16</v>
      </c>
      <c r="G940" t="str">
        <f t="shared" si="43"/>
        <v>Campaign</v>
      </c>
      <c r="H940">
        <v>2</v>
      </c>
      <c r="I940" s="4">
        <v>0.1</v>
      </c>
      <c r="J940">
        <v>689</v>
      </c>
      <c r="K940" s="6">
        <v>119.08</v>
      </c>
      <c r="L940" s="8">
        <f t="shared" si="44"/>
        <v>0.17283018867924527</v>
      </c>
    </row>
    <row r="941" spans="1:12" x14ac:dyDescent="0.2">
      <c r="A941" t="s">
        <v>1271</v>
      </c>
      <c r="B941" s="1" t="d">
        <v>2025-02-25</v>
      </c>
      <c r="C941" s="1" t="str">
        <f t="shared" si="42"/>
        <v>February 2025</v>
      </c>
      <c r="D941" t="s">
        <v>69</v>
      </c>
      <c r="E941" t="s">
        <v>138</v>
      </c>
      <c r="F941" t="s">
        <v>1337</v>
      </c>
      <c r="G941" t="str">
        <f t="shared" si="43"/>
        <v>Non-Campaign</v>
      </c>
      <c r="H941">
        <v>4</v>
      </c>
      <c r="I941" s="4">
        <v>0</v>
      </c>
      <c r="J941">
        <v>1732.68</v>
      </c>
      <c r="K941" s="6">
        <v>1031.6400000000001</v>
      </c>
      <c r="L941" s="8">
        <f t="shared" si="44"/>
        <v>0.59540134358335073</v>
      </c>
    </row>
    <row r="942" spans="1:12" x14ac:dyDescent="0.2">
      <c r="A942" t="s">
        <v>1272</v>
      </c>
      <c r="B942" s="1" t="d">
        <v>2025-02-24</v>
      </c>
      <c r="C942" s="1" t="str">
        <f t="shared" si="42"/>
        <v>February 2025</v>
      </c>
      <c r="D942" t="s">
        <v>113</v>
      </c>
      <c r="E942" t="s">
        <v>106</v>
      </c>
      <c r="F942" t="s">
        <v>16</v>
      </c>
      <c r="G942" t="str">
        <f t="shared" si="43"/>
        <v>Campaign</v>
      </c>
      <c r="H942">
        <v>4</v>
      </c>
      <c r="I942" s="4">
        <v>0.2</v>
      </c>
      <c r="J942">
        <v>632.61</v>
      </c>
      <c r="K942" s="6">
        <v>250.05</v>
      </c>
      <c r="L942" s="8">
        <f t="shared" si="44"/>
        <v>0.39526722625314176</v>
      </c>
    </row>
    <row r="943" spans="1:12" x14ac:dyDescent="0.2">
      <c r="A943" t="s">
        <v>1273</v>
      </c>
      <c r="B943" s="1" t="d">
        <v>2024-07-07</v>
      </c>
      <c r="C943" s="1" t="str">
        <f t="shared" si="42"/>
        <v>July 2024</v>
      </c>
      <c r="D943" t="s">
        <v>580</v>
      </c>
      <c r="E943" t="s">
        <v>11</v>
      </c>
      <c r="F943" t="s">
        <v>1337</v>
      </c>
      <c r="G943" t="str">
        <f t="shared" si="43"/>
        <v>Non-Campaign</v>
      </c>
      <c r="H943">
        <v>1</v>
      </c>
      <c r="I943" s="4">
        <v>0.2</v>
      </c>
      <c r="J943">
        <v>161.97</v>
      </c>
      <c r="K943" s="6">
        <v>44.27</v>
      </c>
      <c r="L943" s="8">
        <f t="shared" si="44"/>
        <v>0.27332222016422797</v>
      </c>
    </row>
    <row r="944" spans="1:12" x14ac:dyDescent="0.2">
      <c r="A944" t="s">
        <v>1274</v>
      </c>
      <c r="B944" s="1" t="d">
        <v>2024-08-24</v>
      </c>
      <c r="C944" s="1" t="str">
        <f t="shared" si="42"/>
        <v>August 2024</v>
      </c>
      <c r="D944" t="s">
        <v>204</v>
      </c>
      <c r="E944" t="s">
        <v>148</v>
      </c>
      <c r="F944" t="s">
        <v>1337</v>
      </c>
      <c r="G944" t="str">
        <f t="shared" si="43"/>
        <v>Non-Campaign</v>
      </c>
      <c r="H944">
        <v>5</v>
      </c>
      <c r="I944" s="4">
        <v>0.2</v>
      </c>
      <c r="J944">
        <v>1979.88</v>
      </c>
      <c r="K944" s="6">
        <v>356.38</v>
      </c>
      <c r="L944" s="8">
        <f t="shared" si="44"/>
        <v>0.18000080812978564</v>
      </c>
    </row>
    <row r="945" spans="1:12" x14ac:dyDescent="0.2">
      <c r="A945" t="s">
        <v>1275</v>
      </c>
      <c r="B945" s="1" t="d">
        <v>2024-10-09</v>
      </c>
      <c r="C945" s="1" t="str">
        <f t="shared" si="42"/>
        <v>October 2024</v>
      </c>
      <c r="D945" t="s">
        <v>1276</v>
      </c>
      <c r="E945" t="s">
        <v>15</v>
      </c>
      <c r="F945" t="s">
        <v>1337</v>
      </c>
      <c r="G945" t="str">
        <f t="shared" si="43"/>
        <v>Non-Campaign</v>
      </c>
      <c r="H945">
        <v>3</v>
      </c>
      <c r="I945" s="4">
        <v>0</v>
      </c>
      <c r="J945">
        <v>1220.3699999999999</v>
      </c>
      <c r="K945" s="6">
        <v>391.44</v>
      </c>
      <c r="L945" s="8">
        <f t="shared" si="44"/>
        <v>0.32075518080582122</v>
      </c>
    </row>
    <row r="946" spans="1:12" x14ac:dyDescent="0.2">
      <c r="A946" t="s">
        <v>1277</v>
      </c>
      <c r="B946" s="1" t="d">
        <v>2024-10-06</v>
      </c>
      <c r="C946" s="1" t="str">
        <f t="shared" si="42"/>
        <v>October 2024</v>
      </c>
      <c r="D946" t="s">
        <v>287</v>
      </c>
      <c r="E946" t="s">
        <v>72</v>
      </c>
      <c r="F946" t="s">
        <v>12</v>
      </c>
      <c r="G946" t="str">
        <f t="shared" si="43"/>
        <v>Campaign</v>
      </c>
      <c r="H946">
        <v>3</v>
      </c>
      <c r="I946" s="4">
        <v>0.15</v>
      </c>
      <c r="J946">
        <v>164.53</v>
      </c>
      <c r="K946" s="6">
        <v>79.63</v>
      </c>
      <c r="L946" s="8">
        <f t="shared" si="44"/>
        <v>0.48398468364432018</v>
      </c>
    </row>
    <row r="947" spans="1:12" x14ac:dyDescent="0.2">
      <c r="A947" t="s">
        <v>1278</v>
      </c>
      <c r="B947" s="1" t="d">
        <v>2025-01-19</v>
      </c>
      <c r="C947" s="1" t="str">
        <f t="shared" si="42"/>
        <v>January 2025</v>
      </c>
      <c r="D947" t="s">
        <v>250</v>
      </c>
      <c r="E947" t="s">
        <v>130</v>
      </c>
      <c r="F947" t="s">
        <v>16</v>
      </c>
      <c r="G947" t="str">
        <f t="shared" si="43"/>
        <v>Campaign</v>
      </c>
      <c r="H947">
        <v>5</v>
      </c>
      <c r="I947" s="4">
        <v>0.2</v>
      </c>
      <c r="J947">
        <v>1531.12</v>
      </c>
      <c r="K947" s="6">
        <v>106.32</v>
      </c>
      <c r="L947" s="8">
        <f t="shared" si="44"/>
        <v>6.9439364648100743E-2</v>
      </c>
    </row>
    <row r="948" spans="1:12" x14ac:dyDescent="0.2">
      <c r="A948" t="s">
        <v>1279</v>
      </c>
      <c r="B948" s="1" t="d">
        <v>2024-12-20</v>
      </c>
      <c r="C948" s="1" t="str">
        <f t="shared" si="42"/>
        <v>December 2024</v>
      </c>
      <c r="D948" t="s">
        <v>406</v>
      </c>
      <c r="E948" t="s">
        <v>35</v>
      </c>
      <c r="F948" t="s">
        <v>20</v>
      </c>
      <c r="G948" t="str">
        <f t="shared" si="43"/>
        <v>Campaign</v>
      </c>
      <c r="H948">
        <v>3</v>
      </c>
      <c r="I948" s="4">
        <v>0.3</v>
      </c>
      <c r="J948">
        <v>635.98</v>
      </c>
      <c r="K948" s="6">
        <v>-21.59</v>
      </c>
      <c r="L948" s="8">
        <f t="shared" si="44"/>
        <v>-3.3947608415358974E-2</v>
      </c>
    </row>
    <row r="949" spans="1:12" x14ac:dyDescent="0.2">
      <c r="A949" t="s">
        <v>1280</v>
      </c>
      <c r="B949" s="1" t="d">
        <v>2024-11-26</v>
      </c>
      <c r="C949" s="1" t="str">
        <f t="shared" si="42"/>
        <v>November 2024</v>
      </c>
      <c r="D949" t="s">
        <v>1281</v>
      </c>
      <c r="E949" t="s">
        <v>53</v>
      </c>
      <c r="F949" t="s">
        <v>12</v>
      </c>
      <c r="G949" t="str">
        <f t="shared" si="43"/>
        <v>Campaign</v>
      </c>
      <c r="H949">
        <v>3</v>
      </c>
      <c r="I949" s="4">
        <v>0.15</v>
      </c>
      <c r="J949">
        <v>853.26</v>
      </c>
      <c r="K949" s="6">
        <v>292.86</v>
      </c>
      <c r="L949" s="8">
        <f t="shared" si="44"/>
        <v>0.34322480838197034</v>
      </c>
    </row>
    <row r="950" spans="1:12" x14ac:dyDescent="0.2">
      <c r="A950" t="s">
        <v>1282</v>
      </c>
      <c r="B950" s="1" t="d">
        <v>2024-09-20</v>
      </c>
      <c r="C950" s="1" t="str">
        <f t="shared" si="42"/>
        <v>September 2024</v>
      </c>
      <c r="D950" t="s">
        <v>572</v>
      </c>
      <c r="E950" t="s">
        <v>106</v>
      </c>
      <c r="F950" t="s">
        <v>30</v>
      </c>
      <c r="G950" t="str">
        <f t="shared" si="43"/>
        <v>Campaign</v>
      </c>
      <c r="H950">
        <v>3</v>
      </c>
      <c r="I950" s="4">
        <v>0.15</v>
      </c>
      <c r="J950">
        <v>504.11</v>
      </c>
      <c r="K950" s="6">
        <v>217.19</v>
      </c>
      <c r="L950" s="8">
        <f t="shared" si="44"/>
        <v>0.43083850746860802</v>
      </c>
    </row>
    <row r="951" spans="1:12" x14ac:dyDescent="0.2">
      <c r="A951" t="s">
        <v>1283</v>
      </c>
      <c r="B951" s="1" t="d">
        <v>2024-10-02</v>
      </c>
      <c r="C951" s="1" t="str">
        <f t="shared" si="42"/>
        <v>October 2024</v>
      </c>
      <c r="D951" t="s">
        <v>22</v>
      </c>
      <c r="E951" t="s">
        <v>15</v>
      </c>
      <c r="F951" t="s">
        <v>109</v>
      </c>
      <c r="G951" t="str">
        <f t="shared" si="43"/>
        <v>Campaign</v>
      </c>
      <c r="H951">
        <v>2</v>
      </c>
      <c r="I951" s="4">
        <v>0</v>
      </c>
      <c r="J951">
        <v>813.58</v>
      </c>
      <c r="K951" s="6">
        <v>260.95999999999998</v>
      </c>
      <c r="L951" s="8">
        <f t="shared" si="44"/>
        <v>0.32075518080582116</v>
      </c>
    </row>
    <row r="952" spans="1:12" x14ac:dyDescent="0.2">
      <c r="A952" t="s">
        <v>1284</v>
      </c>
      <c r="B952" s="1" t="d">
        <v>2025-04-03</v>
      </c>
      <c r="C952" s="1" t="str">
        <f t="shared" si="42"/>
        <v>April 2025</v>
      </c>
      <c r="D952" t="s">
        <v>733</v>
      </c>
      <c r="E952" t="s">
        <v>119</v>
      </c>
      <c r="F952" t="s">
        <v>12</v>
      </c>
      <c r="G952" t="str">
        <f t="shared" si="43"/>
        <v>Campaign</v>
      </c>
      <c r="H952">
        <v>2</v>
      </c>
      <c r="I952" s="4">
        <v>0</v>
      </c>
      <c r="J952">
        <v>250.54</v>
      </c>
      <c r="K952" s="6">
        <v>50.36</v>
      </c>
      <c r="L952" s="8">
        <f t="shared" si="44"/>
        <v>0.20100582741278838</v>
      </c>
    </row>
    <row r="953" spans="1:12" x14ac:dyDescent="0.2">
      <c r="A953" t="s">
        <v>1285</v>
      </c>
      <c r="B953" s="1" t="d">
        <v>2025-02-18</v>
      </c>
      <c r="C953" s="1" t="str">
        <f t="shared" si="42"/>
        <v>February 2025</v>
      </c>
      <c r="D953" t="s">
        <v>98</v>
      </c>
      <c r="E953" t="s">
        <v>38</v>
      </c>
      <c r="F953" t="s">
        <v>12</v>
      </c>
      <c r="G953" t="str">
        <f t="shared" si="43"/>
        <v>Campaign</v>
      </c>
      <c r="H953">
        <v>4</v>
      </c>
      <c r="I953" s="4">
        <v>0.2</v>
      </c>
      <c r="J953">
        <v>1502.69</v>
      </c>
      <c r="K953" s="6">
        <v>264.45</v>
      </c>
      <c r="L953" s="8">
        <f t="shared" si="44"/>
        <v>0.17598440130698945</v>
      </c>
    </row>
    <row r="954" spans="1:12" x14ac:dyDescent="0.2">
      <c r="A954" t="s">
        <v>1286</v>
      </c>
      <c r="B954" s="1" t="d">
        <v>2024-11-10</v>
      </c>
      <c r="C954" s="1" t="str">
        <f t="shared" si="42"/>
        <v>November 2024</v>
      </c>
      <c r="D954" t="s">
        <v>95</v>
      </c>
      <c r="E954" t="s">
        <v>15</v>
      </c>
      <c r="F954" t="s">
        <v>1337</v>
      </c>
      <c r="G954" t="str">
        <f t="shared" si="43"/>
        <v>Non-Campaign</v>
      </c>
      <c r="H954">
        <v>4</v>
      </c>
      <c r="I954" s="4">
        <v>0.3</v>
      </c>
      <c r="J954">
        <v>1139.01</v>
      </c>
      <c r="K954" s="6">
        <v>33.770000000000003</v>
      </c>
      <c r="L954" s="8">
        <f t="shared" si="44"/>
        <v>2.9648554446405215E-2</v>
      </c>
    </row>
    <row r="955" spans="1:12" x14ac:dyDescent="0.2">
      <c r="A955" t="s">
        <v>1287</v>
      </c>
      <c r="B955" s="1" t="d">
        <v>2025-03-06</v>
      </c>
      <c r="C955" s="1" t="str">
        <f t="shared" si="42"/>
        <v>March 2025</v>
      </c>
      <c r="D955" t="s">
        <v>829</v>
      </c>
      <c r="E955" t="s">
        <v>80</v>
      </c>
      <c r="F955" t="s">
        <v>1337</v>
      </c>
      <c r="G955" t="str">
        <f t="shared" si="43"/>
        <v>Non-Campaign</v>
      </c>
      <c r="H955">
        <v>2</v>
      </c>
      <c r="I955" s="4">
        <v>0</v>
      </c>
      <c r="J955">
        <v>293.94</v>
      </c>
      <c r="K955" s="6">
        <v>171.26</v>
      </c>
      <c r="L955" s="8">
        <f t="shared" si="44"/>
        <v>0.58263591209090293</v>
      </c>
    </row>
    <row r="956" spans="1:12" x14ac:dyDescent="0.2">
      <c r="A956" t="s">
        <v>1288</v>
      </c>
      <c r="B956" s="1" t="d">
        <v>2025-06-09</v>
      </c>
      <c r="C956" s="1" t="str">
        <f t="shared" si="42"/>
        <v>June 2025</v>
      </c>
      <c r="D956" t="s">
        <v>597</v>
      </c>
      <c r="E956" t="s">
        <v>96</v>
      </c>
      <c r="F956" t="s">
        <v>16</v>
      </c>
      <c r="G956" t="str">
        <f t="shared" si="43"/>
        <v>Campaign</v>
      </c>
      <c r="H956">
        <v>2</v>
      </c>
      <c r="I956" s="4">
        <v>0.3</v>
      </c>
      <c r="J956">
        <v>72.48</v>
      </c>
      <c r="K956" s="6">
        <v>-6.76</v>
      </c>
      <c r="L956" s="8">
        <f t="shared" si="44"/>
        <v>-9.326710816777041E-2</v>
      </c>
    </row>
    <row r="957" spans="1:12" x14ac:dyDescent="0.2">
      <c r="A957" t="s">
        <v>1289</v>
      </c>
      <c r="B957" s="1" t="d">
        <v>2025-05-27</v>
      </c>
      <c r="C957" s="1" t="str">
        <f t="shared" si="42"/>
        <v>May 2025</v>
      </c>
      <c r="D957" t="s">
        <v>764</v>
      </c>
      <c r="E957" t="s">
        <v>11</v>
      </c>
      <c r="F957" t="s">
        <v>1337</v>
      </c>
      <c r="G957" t="str">
        <f t="shared" si="43"/>
        <v>Non-Campaign</v>
      </c>
      <c r="H957">
        <v>5</v>
      </c>
      <c r="I957" s="4">
        <v>0</v>
      </c>
      <c r="J957">
        <v>1012.3</v>
      </c>
      <c r="K957" s="6">
        <v>423.8</v>
      </c>
      <c r="L957" s="8">
        <f t="shared" si="44"/>
        <v>0.41865059764891832</v>
      </c>
    </row>
    <row r="958" spans="1:12" x14ac:dyDescent="0.2">
      <c r="A958" t="s">
        <v>1290</v>
      </c>
      <c r="B958" s="1" t="d">
        <v>2024-10-18</v>
      </c>
      <c r="C958" s="1" t="str">
        <f t="shared" si="42"/>
        <v>October 2024</v>
      </c>
      <c r="D958" t="s">
        <v>408</v>
      </c>
      <c r="E958" t="s">
        <v>80</v>
      </c>
      <c r="F958" t="s">
        <v>12</v>
      </c>
      <c r="G958" t="str">
        <f t="shared" si="43"/>
        <v>Campaign</v>
      </c>
      <c r="H958">
        <v>5</v>
      </c>
      <c r="I958" s="4">
        <v>0</v>
      </c>
      <c r="J958">
        <v>734.85</v>
      </c>
      <c r="K958" s="6">
        <v>428.15</v>
      </c>
      <c r="L958" s="8">
        <f t="shared" si="44"/>
        <v>0.58263591209090282</v>
      </c>
    </row>
    <row r="959" spans="1:12" x14ac:dyDescent="0.2">
      <c r="A959" t="s">
        <v>1291</v>
      </c>
      <c r="B959" s="1" t="d">
        <v>2024-07-29</v>
      </c>
      <c r="C959" s="1" t="str">
        <f t="shared" si="42"/>
        <v>July 2024</v>
      </c>
      <c r="D959" t="s">
        <v>1266</v>
      </c>
      <c r="E959" t="s">
        <v>11</v>
      </c>
      <c r="F959" t="s">
        <v>12</v>
      </c>
      <c r="G959" t="str">
        <f t="shared" si="43"/>
        <v>Campaign</v>
      </c>
      <c r="H959">
        <v>1</v>
      </c>
      <c r="I959" s="4">
        <v>0.2</v>
      </c>
      <c r="J959">
        <v>161.97</v>
      </c>
      <c r="K959" s="6">
        <v>44.27</v>
      </c>
      <c r="L959" s="8">
        <f t="shared" si="44"/>
        <v>0.27332222016422797</v>
      </c>
    </row>
    <row r="960" spans="1:12" x14ac:dyDescent="0.2">
      <c r="A960" t="s">
        <v>1292</v>
      </c>
      <c r="B960" s="1" t="d">
        <v>2025-01-19</v>
      </c>
      <c r="C960" s="1" t="str">
        <f t="shared" si="42"/>
        <v>January 2025</v>
      </c>
      <c r="D960" t="s">
        <v>1293</v>
      </c>
      <c r="E960" t="s">
        <v>29</v>
      </c>
      <c r="F960" t="s">
        <v>109</v>
      </c>
      <c r="G960" t="str">
        <f t="shared" si="43"/>
        <v>Campaign</v>
      </c>
      <c r="H960">
        <v>2</v>
      </c>
      <c r="I960" s="4">
        <v>0.1</v>
      </c>
      <c r="J960">
        <v>676.69</v>
      </c>
      <c r="K960" s="6">
        <v>302.29000000000002</v>
      </c>
      <c r="L960" s="8">
        <f t="shared" si="44"/>
        <v>0.44671858605860881</v>
      </c>
    </row>
    <row r="961" spans="1:12" x14ac:dyDescent="0.2">
      <c r="A961" t="s">
        <v>1294</v>
      </c>
      <c r="B961" s="1" t="d">
        <v>2025-05-27</v>
      </c>
      <c r="C961" s="1" t="str">
        <f t="shared" si="42"/>
        <v>May 2025</v>
      </c>
      <c r="D961" t="s">
        <v>247</v>
      </c>
      <c r="E961" t="s">
        <v>15</v>
      </c>
      <c r="F961" t="s">
        <v>109</v>
      </c>
      <c r="G961" t="str">
        <f t="shared" si="43"/>
        <v>Campaign</v>
      </c>
      <c r="H961">
        <v>3</v>
      </c>
      <c r="I961" s="4">
        <v>0.2</v>
      </c>
      <c r="J961">
        <v>976.3</v>
      </c>
      <c r="K961" s="6">
        <v>147.37</v>
      </c>
      <c r="L961" s="8">
        <f t="shared" si="44"/>
        <v>0.15094745467581688</v>
      </c>
    </row>
    <row r="962" spans="1:12" x14ac:dyDescent="0.2">
      <c r="A962" t="s">
        <v>1295</v>
      </c>
      <c r="B962" s="1" t="d">
        <v>2025-03-09</v>
      </c>
      <c r="C962" s="1" t="str">
        <f t="shared" ref="C962:C1025" si="45">TEXT(B962, "mmmm yyyy")</f>
        <v>March 2025</v>
      </c>
      <c r="D962" t="s">
        <v>202</v>
      </c>
      <c r="E962" t="s">
        <v>47</v>
      </c>
      <c r="F962" t="s">
        <v>1337</v>
      </c>
      <c r="G962" t="str">
        <f t="shared" ref="G962:G1025" si="46">IF(F962="No Campaign", "Non-Campaign", "Campaign")</f>
        <v>Non-Campaign</v>
      </c>
      <c r="H962">
        <v>1</v>
      </c>
      <c r="I962" s="4">
        <v>0.1</v>
      </c>
      <c r="J962">
        <v>270.54000000000002</v>
      </c>
      <c r="K962" s="6">
        <v>42.35</v>
      </c>
      <c r="L962" s="8">
        <f t="shared" ref="L962:L1025" si="47">IF(J962=0, 0,K962/J962)</f>
        <v>0.15653877430324536</v>
      </c>
    </row>
    <row r="963" spans="1:12" x14ac:dyDescent="0.2">
      <c r="A963" t="s">
        <v>1296</v>
      </c>
      <c r="B963" s="1" t="d">
        <v>2024-09-17</v>
      </c>
      <c r="C963" s="1" t="str">
        <f t="shared" si="45"/>
        <v>September 2024</v>
      </c>
      <c r="D963" t="s">
        <v>287</v>
      </c>
      <c r="E963" t="s">
        <v>35</v>
      </c>
      <c r="F963" t="s">
        <v>109</v>
      </c>
      <c r="G963" t="str">
        <f t="shared" si="46"/>
        <v>Campaign</v>
      </c>
      <c r="H963">
        <v>1</v>
      </c>
      <c r="I963" s="4">
        <v>0</v>
      </c>
      <c r="J963">
        <v>302.85000000000002</v>
      </c>
      <c r="K963" s="6">
        <v>83.66</v>
      </c>
      <c r="L963" s="8">
        <f t="shared" si="47"/>
        <v>0.27624236420670295</v>
      </c>
    </row>
    <row r="964" spans="1:12" x14ac:dyDescent="0.2">
      <c r="A964" t="s">
        <v>1297</v>
      </c>
      <c r="B964" s="1" t="d">
        <v>2025-01-10</v>
      </c>
      <c r="C964" s="1" t="str">
        <f t="shared" si="45"/>
        <v>January 2025</v>
      </c>
      <c r="D964" t="s">
        <v>342</v>
      </c>
      <c r="E964" t="s">
        <v>38</v>
      </c>
      <c r="F964" t="s">
        <v>20</v>
      </c>
      <c r="G964" t="str">
        <f t="shared" si="46"/>
        <v>Campaign</v>
      </c>
      <c r="H964">
        <v>2</v>
      </c>
      <c r="I964" s="4">
        <v>0.2</v>
      </c>
      <c r="J964">
        <v>751.34</v>
      </c>
      <c r="K964" s="6">
        <v>132.22</v>
      </c>
      <c r="L964" s="8">
        <f t="shared" si="47"/>
        <v>0.17597891766710144</v>
      </c>
    </row>
    <row r="965" spans="1:12" x14ac:dyDescent="0.2">
      <c r="A965" t="s">
        <v>1298</v>
      </c>
      <c r="B965" s="1" t="d">
        <v>2024-08-29</v>
      </c>
      <c r="C965" s="1" t="str">
        <f t="shared" si="45"/>
        <v>August 2024</v>
      </c>
      <c r="D965" t="s">
        <v>682</v>
      </c>
      <c r="E965" t="s">
        <v>50</v>
      </c>
      <c r="F965" t="s">
        <v>1337</v>
      </c>
      <c r="G965" t="str">
        <f t="shared" si="46"/>
        <v>Non-Campaign</v>
      </c>
      <c r="H965">
        <v>3</v>
      </c>
      <c r="I965" s="4">
        <v>0.05</v>
      </c>
      <c r="J965">
        <v>1054.44</v>
      </c>
      <c r="K965" s="6">
        <v>537.92999999999995</v>
      </c>
      <c r="L965" s="8">
        <f t="shared" si="47"/>
        <v>0.51015705018777735</v>
      </c>
    </row>
    <row r="966" spans="1:12" x14ac:dyDescent="0.2">
      <c r="A966" t="s">
        <v>1299</v>
      </c>
      <c r="B966" s="1" t="d">
        <v>2024-08-21</v>
      </c>
      <c r="C966" s="1" t="str">
        <f t="shared" si="45"/>
        <v>August 2024</v>
      </c>
      <c r="D966" t="s">
        <v>553</v>
      </c>
      <c r="E966" t="s">
        <v>148</v>
      </c>
      <c r="F966" t="s">
        <v>30</v>
      </c>
      <c r="G966" t="str">
        <f t="shared" si="46"/>
        <v>Campaign</v>
      </c>
      <c r="H966">
        <v>2</v>
      </c>
      <c r="I966" s="4">
        <v>0</v>
      </c>
      <c r="J966">
        <v>989.94</v>
      </c>
      <c r="K966" s="6">
        <v>340.54</v>
      </c>
      <c r="L966" s="8">
        <f t="shared" si="47"/>
        <v>0.3440006465038285</v>
      </c>
    </row>
    <row r="967" spans="1:12" x14ac:dyDescent="0.2">
      <c r="A967" t="s">
        <v>1300</v>
      </c>
      <c r="B967" s="1" t="d">
        <v>2025-03-03</v>
      </c>
      <c r="C967" s="1" t="str">
        <f t="shared" si="45"/>
        <v>March 2025</v>
      </c>
      <c r="D967" t="s">
        <v>1293</v>
      </c>
      <c r="E967" t="s">
        <v>75</v>
      </c>
      <c r="F967" t="s">
        <v>1337</v>
      </c>
      <c r="G967" t="str">
        <f t="shared" si="46"/>
        <v>Non-Campaign</v>
      </c>
      <c r="H967">
        <v>5</v>
      </c>
      <c r="I967" s="4">
        <v>0.15</v>
      </c>
      <c r="J967">
        <v>746.56</v>
      </c>
      <c r="K967" s="6">
        <v>125.31</v>
      </c>
      <c r="L967" s="8">
        <f t="shared" si="47"/>
        <v>0.16784987141020147</v>
      </c>
    </row>
    <row r="968" spans="1:12" x14ac:dyDescent="0.2">
      <c r="A968" t="s">
        <v>1301</v>
      </c>
      <c r="B968" s="1" t="d">
        <v>2025-05-23</v>
      </c>
      <c r="C968" s="1" t="str">
        <f t="shared" si="45"/>
        <v>May 2025</v>
      </c>
      <c r="D968" t="s">
        <v>169</v>
      </c>
      <c r="E968" t="s">
        <v>193</v>
      </c>
      <c r="F968" t="s">
        <v>12</v>
      </c>
      <c r="G968" t="str">
        <f t="shared" si="46"/>
        <v>Campaign</v>
      </c>
      <c r="H968">
        <v>4</v>
      </c>
      <c r="I968" s="4">
        <v>0.3</v>
      </c>
      <c r="J968">
        <v>929.43</v>
      </c>
      <c r="K968" s="6">
        <v>108.91</v>
      </c>
      <c r="L968" s="8">
        <f t="shared" si="47"/>
        <v>0.11717934648117664</v>
      </c>
    </row>
    <row r="969" spans="1:12" x14ac:dyDescent="0.2">
      <c r="A969" t="s">
        <v>1302</v>
      </c>
      <c r="B969" s="1" t="d">
        <v>2024-09-23</v>
      </c>
      <c r="C969" s="1" t="str">
        <f t="shared" si="45"/>
        <v>September 2024</v>
      </c>
      <c r="D969" t="s">
        <v>169</v>
      </c>
      <c r="E969" t="s">
        <v>23</v>
      </c>
      <c r="F969" t="s">
        <v>1337</v>
      </c>
      <c r="G969" t="str">
        <f t="shared" si="46"/>
        <v>Non-Campaign</v>
      </c>
      <c r="H969">
        <v>1</v>
      </c>
      <c r="I969" s="4">
        <v>0</v>
      </c>
      <c r="J969">
        <v>262.57</v>
      </c>
      <c r="K969" s="6">
        <v>154.75</v>
      </c>
      <c r="L969" s="8">
        <f t="shared" si="47"/>
        <v>0.58936664508512016</v>
      </c>
    </row>
    <row r="970" spans="1:12" x14ac:dyDescent="0.2">
      <c r="A970" t="s">
        <v>1303</v>
      </c>
      <c r="B970" s="1" t="d">
        <v>2024-08-17</v>
      </c>
      <c r="C970" s="1" t="str">
        <f t="shared" si="45"/>
        <v>August 2024</v>
      </c>
      <c r="D970" t="s">
        <v>82</v>
      </c>
      <c r="E970" t="s">
        <v>177</v>
      </c>
      <c r="F970" t="s">
        <v>16</v>
      </c>
      <c r="G970" t="str">
        <f t="shared" si="46"/>
        <v>Campaign</v>
      </c>
      <c r="H970">
        <v>5</v>
      </c>
      <c r="I970" s="4">
        <v>0.2</v>
      </c>
      <c r="J970">
        <v>449.2</v>
      </c>
      <c r="K970" s="6">
        <v>209</v>
      </c>
      <c r="L970" s="8">
        <f t="shared" si="47"/>
        <v>0.46527159394479073</v>
      </c>
    </row>
    <row r="971" spans="1:12" x14ac:dyDescent="0.2">
      <c r="A971" t="s">
        <v>1304</v>
      </c>
      <c r="B971" s="1" t="d">
        <v>2025-03-09</v>
      </c>
      <c r="C971" s="1" t="str">
        <f t="shared" si="45"/>
        <v>March 2025</v>
      </c>
      <c r="D971" t="s">
        <v>639</v>
      </c>
      <c r="E971" t="s">
        <v>75</v>
      </c>
      <c r="F971" t="s">
        <v>1337</v>
      </c>
      <c r="G971" t="str">
        <f t="shared" si="46"/>
        <v>Non-Campaign</v>
      </c>
      <c r="H971">
        <v>3</v>
      </c>
      <c r="I971" s="4">
        <v>0.1</v>
      </c>
      <c r="J971">
        <v>474.28</v>
      </c>
      <c r="K971" s="6">
        <v>101.53</v>
      </c>
      <c r="L971" s="8">
        <f t="shared" si="47"/>
        <v>0.21407185628742517</v>
      </c>
    </row>
    <row r="972" spans="1:12" x14ac:dyDescent="0.2">
      <c r="A972" t="s">
        <v>1305</v>
      </c>
      <c r="B972" s="1" t="d">
        <v>2024-12-26</v>
      </c>
      <c r="C972" s="1" t="str">
        <f t="shared" si="45"/>
        <v>December 2024</v>
      </c>
      <c r="D972" t="s">
        <v>803</v>
      </c>
      <c r="E972" t="s">
        <v>53</v>
      </c>
      <c r="F972" t="s">
        <v>20</v>
      </c>
      <c r="G972" t="str">
        <f t="shared" si="46"/>
        <v>Campaign</v>
      </c>
      <c r="H972">
        <v>4</v>
      </c>
      <c r="I972" s="4">
        <v>0.2</v>
      </c>
      <c r="J972">
        <v>1070.75</v>
      </c>
      <c r="K972" s="6">
        <v>323.55</v>
      </c>
      <c r="L972" s="8">
        <f t="shared" si="47"/>
        <v>0.30217137520429604</v>
      </c>
    </row>
    <row r="973" spans="1:12" x14ac:dyDescent="0.2">
      <c r="A973" t="s">
        <v>1306</v>
      </c>
      <c r="B973" s="1" t="d">
        <v>2024-10-06</v>
      </c>
      <c r="C973" s="1" t="str">
        <f t="shared" si="45"/>
        <v>October 2024</v>
      </c>
      <c r="D973" t="s">
        <v>292</v>
      </c>
      <c r="E973" t="s">
        <v>26</v>
      </c>
      <c r="F973" t="s">
        <v>1337</v>
      </c>
      <c r="G973" t="str">
        <f t="shared" si="46"/>
        <v>Non-Campaign</v>
      </c>
      <c r="H973">
        <v>1</v>
      </c>
      <c r="I973" s="4">
        <v>0.15</v>
      </c>
      <c r="J973">
        <v>189.14</v>
      </c>
      <c r="K973" s="6">
        <v>97.48</v>
      </c>
      <c r="L973" s="8">
        <f t="shared" si="47"/>
        <v>0.51538542878291216</v>
      </c>
    </row>
    <row r="974" spans="1:12" x14ac:dyDescent="0.2">
      <c r="A974" t="s">
        <v>1307</v>
      </c>
      <c r="B974" s="1" t="d">
        <v>2024-07-26</v>
      </c>
      <c r="C974" s="1" t="str">
        <f t="shared" si="45"/>
        <v>July 2024</v>
      </c>
      <c r="D974" t="s">
        <v>60</v>
      </c>
      <c r="E974" t="s">
        <v>96</v>
      </c>
      <c r="F974" t="s">
        <v>1337</v>
      </c>
      <c r="G974" t="str">
        <f t="shared" si="46"/>
        <v>Non-Campaign</v>
      </c>
      <c r="H974">
        <v>4</v>
      </c>
      <c r="I974" s="4">
        <v>0.05</v>
      </c>
      <c r="J974">
        <v>196.73</v>
      </c>
      <c r="K974" s="6">
        <v>38.25</v>
      </c>
      <c r="L974" s="8">
        <f t="shared" si="47"/>
        <v>0.1944289127230214</v>
      </c>
    </row>
    <row r="975" spans="1:12" x14ac:dyDescent="0.2">
      <c r="A975" t="s">
        <v>1308</v>
      </c>
      <c r="B975" s="1" t="d">
        <v>2024-09-01</v>
      </c>
      <c r="C975" s="1" t="str">
        <f t="shared" si="45"/>
        <v>September 2024</v>
      </c>
      <c r="D975" t="s">
        <v>749</v>
      </c>
      <c r="E975" t="s">
        <v>193</v>
      </c>
      <c r="F975" t="s">
        <v>109</v>
      </c>
      <c r="G975" t="str">
        <f t="shared" si="46"/>
        <v>Campaign</v>
      </c>
      <c r="H975">
        <v>3</v>
      </c>
      <c r="I975" s="4">
        <v>0.15</v>
      </c>
      <c r="J975">
        <v>846.45</v>
      </c>
      <c r="K975" s="6">
        <v>231.06</v>
      </c>
      <c r="L975" s="8">
        <f t="shared" si="47"/>
        <v>0.27297536771220982</v>
      </c>
    </row>
    <row r="976" spans="1:12" x14ac:dyDescent="0.2">
      <c r="A976" t="s">
        <v>1309</v>
      </c>
      <c r="B976" s="1" t="d">
        <v>2024-08-10</v>
      </c>
      <c r="C976" s="1" t="str">
        <f t="shared" si="45"/>
        <v>August 2024</v>
      </c>
      <c r="D976" t="s">
        <v>1310</v>
      </c>
      <c r="E976" t="s">
        <v>53</v>
      </c>
      <c r="F976" t="s">
        <v>1337</v>
      </c>
      <c r="G976" t="str">
        <f t="shared" si="46"/>
        <v>Non-Campaign</v>
      </c>
      <c r="H976">
        <v>3</v>
      </c>
      <c r="I976" s="4">
        <v>0.15</v>
      </c>
      <c r="J976">
        <v>853.26</v>
      </c>
      <c r="K976" s="6">
        <v>292.86</v>
      </c>
      <c r="L976" s="8">
        <f t="shared" si="47"/>
        <v>0.34322480838197034</v>
      </c>
    </row>
    <row r="977" spans="1:12" x14ac:dyDescent="0.2">
      <c r="A977" t="s">
        <v>1311</v>
      </c>
      <c r="B977" s="1" t="d">
        <v>2024-07-09</v>
      </c>
      <c r="C977" s="1" t="str">
        <f t="shared" si="45"/>
        <v>July 2024</v>
      </c>
      <c r="D977" t="s">
        <v>489</v>
      </c>
      <c r="E977" t="s">
        <v>29</v>
      </c>
      <c r="F977" t="s">
        <v>20</v>
      </c>
      <c r="G977" t="str">
        <f t="shared" si="46"/>
        <v>Campaign</v>
      </c>
      <c r="H977">
        <v>4</v>
      </c>
      <c r="I977" s="4">
        <v>0</v>
      </c>
      <c r="J977">
        <v>1503.76</v>
      </c>
      <c r="K977" s="6">
        <v>754.96</v>
      </c>
      <c r="L977" s="8">
        <f t="shared" si="47"/>
        <v>0.5020481991807203</v>
      </c>
    </row>
    <row r="978" spans="1:12" x14ac:dyDescent="0.2">
      <c r="A978" t="s">
        <v>1312</v>
      </c>
      <c r="B978" s="1" t="d">
        <v>2025-03-11</v>
      </c>
      <c r="C978" s="1" t="str">
        <f t="shared" si="45"/>
        <v>March 2025</v>
      </c>
      <c r="D978" t="s">
        <v>682</v>
      </c>
      <c r="E978" t="s">
        <v>106</v>
      </c>
      <c r="F978" t="s">
        <v>1337</v>
      </c>
      <c r="G978" t="str">
        <f t="shared" si="46"/>
        <v>Non-Campaign</v>
      </c>
      <c r="H978">
        <v>2</v>
      </c>
      <c r="I978" s="4">
        <v>0.1</v>
      </c>
      <c r="J978">
        <v>355.84</v>
      </c>
      <c r="K978" s="6">
        <v>164.56</v>
      </c>
      <c r="L978" s="8">
        <f t="shared" si="47"/>
        <v>0.46245503597122306</v>
      </c>
    </row>
    <row r="979" spans="1:12" x14ac:dyDescent="0.2">
      <c r="A979" t="s">
        <v>1313</v>
      </c>
      <c r="B979" s="1" t="d">
        <v>2025-01-01</v>
      </c>
      <c r="C979" s="1" t="str">
        <f t="shared" si="45"/>
        <v>January 2025</v>
      </c>
      <c r="D979" t="s">
        <v>460</v>
      </c>
      <c r="E979" t="s">
        <v>75</v>
      </c>
      <c r="F979" t="s">
        <v>16</v>
      </c>
      <c r="G979" t="str">
        <f t="shared" si="46"/>
        <v>Campaign</v>
      </c>
      <c r="H979">
        <v>5</v>
      </c>
      <c r="I979" s="4">
        <v>0</v>
      </c>
      <c r="J979">
        <v>878.3</v>
      </c>
      <c r="K979" s="6">
        <v>257.05</v>
      </c>
      <c r="L979" s="8">
        <f t="shared" si="47"/>
        <v>0.29266765342138223</v>
      </c>
    </row>
    <row r="980" spans="1:12" x14ac:dyDescent="0.2">
      <c r="A980" t="s">
        <v>1314</v>
      </c>
      <c r="B980" s="1" t="d">
        <v>2025-06-06</v>
      </c>
      <c r="C980" s="1" t="str">
        <f t="shared" si="45"/>
        <v>June 2025</v>
      </c>
      <c r="D980" t="s">
        <v>89</v>
      </c>
      <c r="E980" t="s">
        <v>130</v>
      </c>
      <c r="F980" t="s">
        <v>20</v>
      </c>
      <c r="G980" t="str">
        <f t="shared" si="46"/>
        <v>Campaign</v>
      </c>
      <c r="H980">
        <v>3</v>
      </c>
      <c r="I980" s="4">
        <v>0.2</v>
      </c>
      <c r="J980">
        <v>918.67</v>
      </c>
      <c r="K980" s="6">
        <v>63.79</v>
      </c>
      <c r="L980" s="8">
        <f t="shared" si="47"/>
        <v>6.9437338761470388E-2</v>
      </c>
    </row>
    <row r="981" spans="1:12" x14ac:dyDescent="0.2">
      <c r="A981" t="s">
        <v>1315</v>
      </c>
      <c r="B981" s="1" t="d">
        <v>2024-10-12</v>
      </c>
      <c r="C981" s="1" t="str">
        <f t="shared" si="45"/>
        <v>October 2024</v>
      </c>
      <c r="D981" t="s">
        <v>1135</v>
      </c>
      <c r="E981" t="s">
        <v>119</v>
      </c>
      <c r="F981" t="s">
        <v>109</v>
      </c>
      <c r="G981" t="str">
        <f t="shared" si="46"/>
        <v>Campaign</v>
      </c>
      <c r="H981">
        <v>5</v>
      </c>
      <c r="I981" s="4">
        <v>0.15</v>
      </c>
      <c r="J981">
        <v>532.4</v>
      </c>
      <c r="K981" s="6">
        <v>31.95</v>
      </c>
      <c r="L981" s="8">
        <f t="shared" si="47"/>
        <v>6.0011269722013524E-2</v>
      </c>
    </row>
    <row r="982" spans="1:12" x14ac:dyDescent="0.2">
      <c r="A982" t="s">
        <v>1316</v>
      </c>
      <c r="B982" s="1" t="d">
        <v>2025-02-19</v>
      </c>
      <c r="C982" s="1" t="str">
        <f t="shared" si="45"/>
        <v>February 2025</v>
      </c>
      <c r="D982" t="s">
        <v>567</v>
      </c>
      <c r="E982" t="s">
        <v>148</v>
      </c>
      <c r="F982" t="s">
        <v>1337</v>
      </c>
      <c r="G982" t="str">
        <f t="shared" si="46"/>
        <v>Non-Campaign</v>
      </c>
      <c r="H982">
        <v>2</v>
      </c>
      <c r="I982" s="4">
        <v>0.2</v>
      </c>
      <c r="J982">
        <v>791.95</v>
      </c>
      <c r="K982" s="6">
        <v>142.55000000000001</v>
      </c>
      <c r="L982" s="8">
        <f t="shared" si="47"/>
        <v>0.17999873729402111</v>
      </c>
    </row>
    <row r="983" spans="1:12" x14ac:dyDescent="0.2">
      <c r="A983" t="s">
        <v>1317</v>
      </c>
      <c r="B983" s="1" t="d">
        <v>2025-03-13</v>
      </c>
      <c r="C983" s="1" t="str">
        <f t="shared" si="45"/>
        <v>March 2025</v>
      </c>
      <c r="D983" t="s">
        <v>214</v>
      </c>
      <c r="E983" t="s">
        <v>50</v>
      </c>
      <c r="F983" t="s">
        <v>16</v>
      </c>
      <c r="G983" t="str">
        <f t="shared" si="46"/>
        <v>Campaign</v>
      </c>
      <c r="H983">
        <v>4</v>
      </c>
      <c r="I983" s="4">
        <v>0.15</v>
      </c>
      <c r="J983">
        <v>1257.93</v>
      </c>
      <c r="K983" s="6">
        <v>569.25</v>
      </c>
      <c r="L983" s="8">
        <f t="shared" si="47"/>
        <v>0.45252915504042351</v>
      </c>
    </row>
    <row r="984" spans="1:12" x14ac:dyDescent="0.2">
      <c r="A984" t="s">
        <v>1318</v>
      </c>
      <c r="B984" s="1" t="d">
        <v>2025-04-01</v>
      </c>
      <c r="C984" s="1" t="str">
        <f t="shared" si="45"/>
        <v>April 2025</v>
      </c>
      <c r="D984" t="s">
        <v>116</v>
      </c>
      <c r="E984" t="s">
        <v>165</v>
      </c>
      <c r="F984" t="s">
        <v>30</v>
      </c>
      <c r="G984" t="str">
        <f t="shared" si="46"/>
        <v>Campaign</v>
      </c>
      <c r="H984">
        <v>5</v>
      </c>
      <c r="I984" s="4">
        <v>0.15</v>
      </c>
      <c r="J984">
        <v>339.66</v>
      </c>
      <c r="K984" s="6">
        <v>32.409999999999997</v>
      </c>
      <c r="L984" s="8">
        <f t="shared" si="47"/>
        <v>9.5418948360124808E-2</v>
      </c>
    </row>
    <row r="985" spans="1:12" x14ac:dyDescent="0.2">
      <c r="A985" t="s">
        <v>1319</v>
      </c>
      <c r="B985" s="1" t="d">
        <v>2025-05-19</v>
      </c>
      <c r="C985" s="1" t="str">
        <f t="shared" si="45"/>
        <v>May 2025</v>
      </c>
      <c r="D985" t="s">
        <v>383</v>
      </c>
      <c r="E985" t="s">
        <v>148</v>
      </c>
      <c r="F985" t="s">
        <v>1337</v>
      </c>
      <c r="G985" t="str">
        <f t="shared" si="46"/>
        <v>Non-Campaign</v>
      </c>
      <c r="H985">
        <v>5</v>
      </c>
      <c r="I985" s="4">
        <v>0.3</v>
      </c>
      <c r="J985">
        <v>1732.4</v>
      </c>
      <c r="K985" s="6">
        <v>108.9</v>
      </c>
      <c r="L985" s="8">
        <f t="shared" si="47"/>
        <v>6.2860771184483952E-2</v>
      </c>
    </row>
    <row r="986" spans="1:12" x14ac:dyDescent="0.2">
      <c r="A986" t="s">
        <v>1320</v>
      </c>
      <c r="B986" s="1" t="d">
        <v>2025-03-15</v>
      </c>
      <c r="C986" s="1" t="str">
        <f t="shared" si="45"/>
        <v>March 2025</v>
      </c>
      <c r="D986" t="s">
        <v>1107</v>
      </c>
      <c r="E986" t="s">
        <v>35</v>
      </c>
      <c r="F986" t="s">
        <v>20</v>
      </c>
      <c r="G986" t="str">
        <f t="shared" si="46"/>
        <v>Campaign</v>
      </c>
      <c r="H986">
        <v>5</v>
      </c>
      <c r="I986" s="4">
        <v>0.15</v>
      </c>
      <c r="J986">
        <v>1287.1099999999999</v>
      </c>
      <c r="K986" s="6">
        <v>191.16</v>
      </c>
      <c r="L986" s="8">
        <f t="shared" si="47"/>
        <v>0.14851877461910792</v>
      </c>
    </row>
    <row r="987" spans="1:12" x14ac:dyDescent="0.2">
      <c r="A987" t="s">
        <v>1321</v>
      </c>
      <c r="B987" s="1" t="d">
        <v>2025-01-05</v>
      </c>
      <c r="C987" s="1" t="str">
        <f t="shared" si="45"/>
        <v>January 2025</v>
      </c>
      <c r="D987" t="s">
        <v>435</v>
      </c>
      <c r="E987" t="s">
        <v>148</v>
      </c>
      <c r="F987" t="s">
        <v>1337</v>
      </c>
      <c r="G987" t="str">
        <f t="shared" si="46"/>
        <v>Non-Campaign</v>
      </c>
      <c r="H987">
        <v>3</v>
      </c>
      <c r="I987" s="4">
        <v>0.2</v>
      </c>
      <c r="J987">
        <v>1187.93</v>
      </c>
      <c r="K987" s="6">
        <v>213.83</v>
      </c>
      <c r="L987" s="8">
        <f t="shared" si="47"/>
        <v>0.18000218868115125</v>
      </c>
    </row>
    <row r="988" spans="1:12" x14ac:dyDescent="0.2">
      <c r="A988" t="s">
        <v>1322</v>
      </c>
      <c r="B988" s="1" t="d">
        <v>2025-01-10</v>
      </c>
      <c r="C988" s="1" t="str">
        <f t="shared" si="45"/>
        <v>January 2025</v>
      </c>
      <c r="D988" t="s">
        <v>373</v>
      </c>
      <c r="E988" t="s">
        <v>130</v>
      </c>
      <c r="F988" t="s">
        <v>1337</v>
      </c>
      <c r="G988" t="str">
        <f t="shared" si="46"/>
        <v>Non-Campaign</v>
      </c>
      <c r="H988">
        <v>2</v>
      </c>
      <c r="I988" s="4">
        <v>0.1</v>
      </c>
      <c r="J988">
        <v>689</v>
      </c>
      <c r="K988" s="6">
        <v>119.08</v>
      </c>
      <c r="L988" s="8">
        <f t="shared" si="47"/>
        <v>0.17283018867924527</v>
      </c>
    </row>
    <row r="989" spans="1:12" x14ac:dyDescent="0.2">
      <c r="A989" t="s">
        <v>1323</v>
      </c>
      <c r="B989" s="1" t="d">
        <v>2024-10-17</v>
      </c>
      <c r="C989" s="1" t="str">
        <f t="shared" si="45"/>
        <v>October 2024</v>
      </c>
      <c r="D989" t="s">
        <v>89</v>
      </c>
      <c r="E989" t="s">
        <v>26</v>
      </c>
      <c r="F989" t="s">
        <v>20</v>
      </c>
      <c r="G989" t="str">
        <f t="shared" si="46"/>
        <v>Campaign</v>
      </c>
      <c r="H989">
        <v>5</v>
      </c>
      <c r="I989" s="4">
        <v>0.15</v>
      </c>
      <c r="J989">
        <v>945.71</v>
      </c>
      <c r="K989" s="6">
        <v>487.41</v>
      </c>
      <c r="L989" s="8">
        <f t="shared" si="47"/>
        <v>0.51539055312939486</v>
      </c>
    </row>
    <row r="990" spans="1:12" x14ac:dyDescent="0.2">
      <c r="A990" t="s">
        <v>1324</v>
      </c>
      <c r="B990" s="1" t="d">
        <v>2025-02-26</v>
      </c>
      <c r="C990" s="1" t="str">
        <f t="shared" si="45"/>
        <v>February 2025</v>
      </c>
      <c r="D990" t="s">
        <v>265</v>
      </c>
      <c r="E990" t="s">
        <v>106</v>
      </c>
      <c r="F990" t="s">
        <v>12</v>
      </c>
      <c r="G990" t="str">
        <f t="shared" si="46"/>
        <v>Campaign</v>
      </c>
      <c r="H990">
        <v>1</v>
      </c>
      <c r="I990" s="4">
        <v>0.05</v>
      </c>
      <c r="J990">
        <v>187.81</v>
      </c>
      <c r="K990" s="6">
        <v>92.17</v>
      </c>
      <c r="L990" s="8">
        <f t="shared" si="47"/>
        <v>0.49076194025877218</v>
      </c>
    </row>
    <row r="991" spans="1:12" x14ac:dyDescent="0.2">
      <c r="A991" t="s">
        <v>1325</v>
      </c>
      <c r="B991" s="1" t="d">
        <v>2025-05-19</v>
      </c>
      <c r="C991" s="1" t="str">
        <f t="shared" si="45"/>
        <v>May 2025</v>
      </c>
      <c r="D991" t="s">
        <v>267</v>
      </c>
      <c r="E991" t="s">
        <v>135</v>
      </c>
      <c r="F991" t="s">
        <v>12</v>
      </c>
      <c r="G991" t="str">
        <f t="shared" si="46"/>
        <v>Campaign</v>
      </c>
      <c r="H991">
        <v>2</v>
      </c>
      <c r="I991" s="4">
        <v>0.3</v>
      </c>
      <c r="J991">
        <v>284.45</v>
      </c>
      <c r="K991" s="6">
        <v>-40.01</v>
      </c>
      <c r="L991" s="8">
        <f t="shared" si="47"/>
        <v>-0.14065740903497978</v>
      </c>
    </row>
    <row r="992" spans="1:12" x14ac:dyDescent="0.2">
      <c r="A992" t="s">
        <v>1326</v>
      </c>
      <c r="B992" s="1" t="d">
        <v>2025-04-11</v>
      </c>
      <c r="C992" s="1" t="str">
        <f t="shared" si="45"/>
        <v>April 2025</v>
      </c>
      <c r="D992" t="s">
        <v>287</v>
      </c>
      <c r="E992" t="s">
        <v>11</v>
      </c>
      <c r="F992" t="s">
        <v>109</v>
      </c>
      <c r="G992" t="str">
        <f t="shared" si="46"/>
        <v>Campaign</v>
      </c>
      <c r="H992">
        <v>4</v>
      </c>
      <c r="I992" s="4">
        <v>0.2</v>
      </c>
      <c r="J992">
        <v>647.87</v>
      </c>
      <c r="K992" s="6">
        <v>177.07</v>
      </c>
      <c r="L992" s="8">
        <f t="shared" si="47"/>
        <v>0.27331100375075246</v>
      </c>
    </row>
    <row r="993" spans="1:12" x14ac:dyDescent="0.2">
      <c r="A993" t="s">
        <v>1327</v>
      </c>
      <c r="B993" s="1" t="d">
        <v>2024-08-10</v>
      </c>
      <c r="C993" s="1" t="str">
        <f t="shared" si="45"/>
        <v>August 2024</v>
      </c>
      <c r="D993" t="s">
        <v>526</v>
      </c>
      <c r="E993" t="s">
        <v>11</v>
      </c>
      <c r="F993" t="s">
        <v>30</v>
      </c>
      <c r="G993" t="str">
        <f t="shared" si="46"/>
        <v>Campaign</v>
      </c>
      <c r="H993">
        <v>2</v>
      </c>
      <c r="I993" s="4">
        <v>0.3</v>
      </c>
      <c r="J993">
        <v>283.44</v>
      </c>
      <c r="K993" s="6">
        <v>48.04</v>
      </c>
      <c r="L993" s="8">
        <f t="shared" si="47"/>
        <v>0.16948913350268136</v>
      </c>
    </row>
    <row r="994" spans="1:12" x14ac:dyDescent="0.2">
      <c r="A994" t="s">
        <v>1328</v>
      </c>
      <c r="B994" s="1" t="d">
        <v>2025-05-28</v>
      </c>
      <c r="C994" s="1" t="str">
        <f t="shared" si="45"/>
        <v>May 2025</v>
      </c>
      <c r="D994" t="s">
        <v>653</v>
      </c>
      <c r="E994" t="s">
        <v>80</v>
      </c>
      <c r="F994" t="s">
        <v>109</v>
      </c>
      <c r="G994" t="str">
        <f t="shared" si="46"/>
        <v>Campaign</v>
      </c>
      <c r="H994">
        <v>4</v>
      </c>
      <c r="I994" s="4">
        <v>0.3</v>
      </c>
      <c r="J994">
        <v>411.52</v>
      </c>
      <c r="K994" s="6">
        <v>166.16</v>
      </c>
      <c r="L994" s="8">
        <f t="shared" si="47"/>
        <v>0.40377138413685848</v>
      </c>
    </row>
    <row r="995" spans="1:12" x14ac:dyDescent="0.2">
      <c r="A995" t="s">
        <v>1329</v>
      </c>
      <c r="B995" s="1" t="d">
        <v>2024-12-14</v>
      </c>
      <c r="C995" s="1" t="str">
        <f t="shared" si="45"/>
        <v>December 2024</v>
      </c>
      <c r="D995" t="s">
        <v>299</v>
      </c>
      <c r="E995" t="s">
        <v>26</v>
      </c>
      <c r="F995" t="s">
        <v>12</v>
      </c>
      <c r="G995" t="str">
        <f t="shared" si="46"/>
        <v>Campaign</v>
      </c>
      <c r="H995">
        <v>5</v>
      </c>
      <c r="I995" s="4">
        <v>0.2</v>
      </c>
      <c r="J995">
        <v>890.08</v>
      </c>
      <c r="K995" s="6">
        <v>431.78</v>
      </c>
      <c r="L995" s="8">
        <f t="shared" si="47"/>
        <v>0.48510246269998197</v>
      </c>
    </row>
    <row r="996" spans="1:12" x14ac:dyDescent="0.2">
      <c r="A996" t="s">
        <v>1330</v>
      </c>
      <c r="B996" s="1" t="d">
        <v>2024-12-25</v>
      </c>
      <c r="C996" s="1" t="str">
        <f t="shared" si="45"/>
        <v>December 2024</v>
      </c>
      <c r="D996" t="s">
        <v>1331</v>
      </c>
      <c r="E996" t="s">
        <v>65</v>
      </c>
      <c r="F996" t="s">
        <v>16</v>
      </c>
      <c r="G996" t="str">
        <f t="shared" si="46"/>
        <v>Campaign</v>
      </c>
      <c r="H996">
        <v>3</v>
      </c>
      <c r="I996" s="4">
        <v>0</v>
      </c>
      <c r="J996">
        <v>290.37</v>
      </c>
      <c r="K996" s="6">
        <v>95.19</v>
      </c>
      <c r="L996" s="8">
        <f t="shared" si="47"/>
        <v>0.32782312222337018</v>
      </c>
    </row>
    <row r="997" spans="1:12" x14ac:dyDescent="0.2">
      <c r="A997" t="s">
        <v>1332</v>
      </c>
      <c r="B997" s="1" t="d">
        <v>2025-01-05</v>
      </c>
      <c r="C997" s="1" t="str">
        <f t="shared" si="45"/>
        <v>January 2025</v>
      </c>
      <c r="D997" t="s">
        <v>338</v>
      </c>
      <c r="E997" t="s">
        <v>135</v>
      </c>
      <c r="F997" t="s">
        <v>12</v>
      </c>
      <c r="G997" t="str">
        <f t="shared" si="46"/>
        <v>Campaign</v>
      </c>
      <c r="H997">
        <v>1</v>
      </c>
      <c r="I997" s="4">
        <v>0.3</v>
      </c>
      <c r="J997">
        <v>142.22999999999999</v>
      </c>
      <c r="K997" s="6">
        <v>-20</v>
      </c>
      <c r="L997" s="8">
        <f t="shared" si="47"/>
        <v>-0.14061730999085989</v>
      </c>
    </row>
    <row r="998" spans="1:12" x14ac:dyDescent="0.2">
      <c r="A998" t="s">
        <v>1333</v>
      </c>
      <c r="B998" s="1" t="d">
        <v>2025-06-13</v>
      </c>
      <c r="C998" s="1" t="str">
        <f t="shared" si="45"/>
        <v>June 2025</v>
      </c>
      <c r="D998" t="s">
        <v>342</v>
      </c>
      <c r="E998" t="s">
        <v>130</v>
      </c>
      <c r="F998" t="s">
        <v>1337</v>
      </c>
      <c r="G998" t="str">
        <f t="shared" si="46"/>
        <v>Non-Campaign</v>
      </c>
      <c r="H998">
        <v>1</v>
      </c>
      <c r="I998" s="4">
        <v>0.1</v>
      </c>
      <c r="J998">
        <v>344.5</v>
      </c>
      <c r="K998" s="6">
        <v>59.54</v>
      </c>
      <c r="L998" s="8">
        <f t="shared" si="47"/>
        <v>0.17283018867924527</v>
      </c>
    </row>
    <row r="999" spans="1:12" x14ac:dyDescent="0.2">
      <c r="A999" t="s">
        <v>1334</v>
      </c>
      <c r="B999" s="1" t="d">
        <v>2024-06-30</v>
      </c>
      <c r="C999" s="1" t="str">
        <f t="shared" si="45"/>
        <v>June 2024</v>
      </c>
      <c r="D999" t="s">
        <v>626</v>
      </c>
      <c r="E999" t="s">
        <v>103</v>
      </c>
      <c r="F999" t="s">
        <v>1337</v>
      </c>
      <c r="G999" t="str">
        <f t="shared" si="46"/>
        <v>Non-Campaign</v>
      </c>
      <c r="H999">
        <v>5</v>
      </c>
      <c r="I999" s="4">
        <v>0.15</v>
      </c>
      <c r="J999">
        <v>402.18</v>
      </c>
      <c r="K999" s="6">
        <v>31.78</v>
      </c>
      <c r="L999" s="8">
        <f t="shared" si="47"/>
        <v>7.9019344572082151E-2</v>
      </c>
    </row>
    <row r="1000" spans="1:12" x14ac:dyDescent="0.2">
      <c r="A1000" t="s">
        <v>1335</v>
      </c>
      <c r="B1000" s="1" t="d">
        <v>2024-08-06</v>
      </c>
      <c r="C1000" s="1" t="str">
        <f t="shared" si="45"/>
        <v>August 2024</v>
      </c>
      <c r="D1000" t="s">
        <v>653</v>
      </c>
      <c r="E1000" t="s">
        <v>53</v>
      </c>
      <c r="F1000" t="s">
        <v>1337</v>
      </c>
      <c r="G1000" t="str">
        <f t="shared" si="46"/>
        <v>Non-Campaign</v>
      </c>
      <c r="H1000">
        <v>4</v>
      </c>
      <c r="I1000" s="4">
        <v>0.15</v>
      </c>
      <c r="J1000">
        <v>1137.67</v>
      </c>
      <c r="K1000" s="6">
        <v>390.47</v>
      </c>
      <c r="L1000" s="8">
        <f t="shared" si="47"/>
        <v>0.34321903539690773</v>
      </c>
    </row>
    <row r="1001" spans="1:12" x14ac:dyDescent="0.2">
      <c r="A1001" t="s">
        <v>1336</v>
      </c>
      <c r="B1001" s="1" t="d">
        <v>2025-05-12</v>
      </c>
      <c r="C1001" s="1" t="str">
        <f t="shared" si="45"/>
        <v>May 2025</v>
      </c>
      <c r="D1001" t="s">
        <v>383</v>
      </c>
      <c r="E1001" t="s">
        <v>50</v>
      </c>
      <c r="F1001" t="s">
        <v>30</v>
      </c>
      <c r="G1001" t="str">
        <f t="shared" si="46"/>
        <v>Campaign</v>
      </c>
      <c r="H1001">
        <v>2</v>
      </c>
      <c r="I1001" s="4">
        <v>0.15</v>
      </c>
      <c r="J1001">
        <v>628.97</v>
      </c>
      <c r="K1001" s="6">
        <v>284.63</v>
      </c>
      <c r="L1001" s="8">
        <f t="shared" si="47"/>
        <v>0.45253350716250373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Sales by Month</vt:lpstr>
      <vt:lpstr>Campaign vs Non-Campaign</vt:lpstr>
      <vt:lpstr>Top 5 Selling Products</vt:lpstr>
      <vt:lpstr>Shopora_Orders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Moore</cp:lastModifiedBy>
  <dcterms:created xsi:type="dcterms:W3CDTF">2025-07-04T18:26:25Z</dcterms:created>
  <dcterms:modified xsi:type="dcterms:W3CDTF">2025-07-04T18:26:44Z</dcterms:modified>
</cp:coreProperties>
</file>